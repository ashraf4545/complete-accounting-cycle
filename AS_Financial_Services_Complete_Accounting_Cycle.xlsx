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any Profile" sheetId="1" state="visible" r:id="rId3"/>
    <sheet name="Transactions" sheetId="2" state="visible" r:id="rId4"/>
    <sheet name="Journal Entries" sheetId="3" state="visible" r:id="rId5"/>
    <sheet name="Ledger" sheetId="4" state="visible" r:id="rId6"/>
    <sheet name="Trial Balance" sheetId="5" state="visible" r:id="rId7"/>
    <sheet name="Profit &amp; Loss" sheetId="6" state="visible" r:id="rId8"/>
    <sheet name="Balance Shee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<sst xmlns="http://schemas.openxmlformats.org/spreadsheetml/2006/main" count="417" uniqueCount="145">
  <si>
    <t xml:space="preserve">AS Financial Services Pvt. Ltd.</t>
  </si>
  <si>
    <t xml:space="preserve">Company Profile</t>
  </si>
  <si>
    <t xml:space="preserve">Company Name</t>
  </si>
  <si>
    <t xml:space="preserve">Project</t>
  </si>
  <si>
    <t xml:space="preserve">Complete Accounting Cycle</t>
  </si>
  <si>
    <t xml:space="preserve">Nature of Business</t>
  </si>
  <si>
    <t xml:space="preserve">Financial / Professional Services (simulated)</t>
  </si>
  <si>
    <t xml:space="preserve">Financial Year</t>
  </si>
  <si>
    <t xml:space="preserve">1 April 2025 to 31 March 2026</t>
  </si>
  <si>
    <t xml:space="preserve">Currency</t>
  </si>
  <si>
    <t xml:space="preserve">Indian Rupees (INR)</t>
  </si>
  <si>
    <t xml:space="preserve">Project Type</t>
  </si>
  <si>
    <t xml:space="preserve">Simulated / Portfolio Project</t>
  </si>
  <si>
    <t xml:space="preserve">Purpose</t>
  </si>
  <si>
    <t xml:space="preserve">Demonstrate end-to-end accounting from transactions to financial statements.</t>
  </si>
  <si>
    <t xml:space="preserve">Accounting Cycle Flow</t>
  </si>
  <si>
    <t xml:space="preserve">Transactions → Journal Entries → Ledger → Trial Balance → Profit &amp; Loss → Balance Sheet</t>
  </si>
  <si>
    <t xml:space="preserve">Date</t>
  </si>
  <si>
    <t xml:space="preserve">Transaction ID</t>
  </si>
  <si>
    <t xml:space="preserve">Description</t>
  </si>
  <si>
    <t xml:space="preserve">Debit Account</t>
  </si>
  <si>
    <t xml:space="preserve">Credit Account</t>
  </si>
  <si>
    <t xml:space="preserve">Amount (INR)</t>
  </si>
  <si>
    <t xml:space="preserve">Remarks</t>
  </si>
  <si>
    <t xml:space="preserve">T001</t>
  </si>
  <si>
    <t xml:space="preserve">Capital introduced by owner into bank</t>
  </si>
  <si>
    <t xml:space="preserve">Bank</t>
  </si>
  <si>
    <t xml:space="preserve">Capital</t>
  </si>
  <si>
    <t xml:space="preserve">T002</t>
  </si>
  <si>
    <t xml:space="preserve">Purchased office furniture by bank</t>
  </si>
  <si>
    <t xml:space="preserve">Furniture</t>
  </si>
  <si>
    <t xml:space="preserve">T003</t>
  </si>
  <si>
    <t xml:space="preserve">Purchased computers/equipment by bank</t>
  </si>
  <si>
    <t xml:space="preserve">Computer Equipment</t>
  </si>
  <si>
    <t xml:space="preserve">T004</t>
  </si>
  <si>
    <t xml:space="preserve">Paid office rent</t>
  </si>
  <si>
    <t xml:space="preserve">Rent Expense</t>
  </si>
  <si>
    <t xml:space="preserve">T005</t>
  </si>
  <si>
    <t xml:space="preserve">Paid annual insurance premium</t>
  </si>
  <si>
    <t xml:space="preserve">Prepaid Insurance</t>
  </si>
  <si>
    <t xml:space="preserve">T006</t>
  </si>
  <si>
    <t xml:space="preserve">Purchased office supplies by bank</t>
  </si>
  <si>
    <t xml:space="preserve">Office Supplies Expense</t>
  </si>
  <si>
    <t xml:space="preserve">T007</t>
  </si>
  <si>
    <t xml:space="preserve">Received service revenue in bank</t>
  </si>
  <si>
    <t xml:space="preserve">Service Revenue</t>
  </si>
  <si>
    <t xml:space="preserve">T008</t>
  </si>
  <si>
    <t xml:space="preserve">Provided services on credit to Client A</t>
  </si>
  <si>
    <t xml:space="preserve">Accounts Receivable - Client A</t>
  </si>
  <si>
    <t xml:space="preserve">T009</t>
  </si>
  <si>
    <t xml:space="preserve">Paid staff salaries</t>
  </si>
  <si>
    <t xml:space="preserve">Salary Expense</t>
  </si>
  <si>
    <t xml:space="preserve">T010</t>
  </si>
  <si>
    <t xml:space="preserve">Paid electricity and utilities</t>
  </si>
  <si>
    <t xml:space="preserve">Utilities Expense</t>
  </si>
  <si>
    <t xml:space="preserve">T011</t>
  </si>
  <si>
    <t xml:space="preserve">Paid advertising expense</t>
  </si>
  <si>
    <t xml:space="preserve">Advertising Expense</t>
  </si>
  <si>
    <t xml:space="preserve">T012</t>
  </si>
  <si>
    <t xml:space="preserve">T013</t>
  </si>
  <si>
    <t xml:space="preserve">Received part payment from Client A</t>
  </si>
  <si>
    <t xml:space="preserve">T014</t>
  </si>
  <si>
    <t xml:space="preserve">Provided services on credit to Client B</t>
  </si>
  <si>
    <t xml:space="preserve">Accounts Receivable - Client B</t>
  </si>
  <si>
    <t xml:space="preserve">T015</t>
  </si>
  <si>
    <t xml:space="preserve">T016</t>
  </si>
  <si>
    <t xml:space="preserve">T017</t>
  </si>
  <si>
    <t xml:space="preserve">Purchased office supplies on credit from Vendor A</t>
  </si>
  <si>
    <t xml:space="preserve">Accounts Payable - Vendor A</t>
  </si>
  <si>
    <t xml:space="preserve">T018</t>
  </si>
  <si>
    <t xml:space="preserve">Paid Vendor A part payment</t>
  </si>
  <si>
    <t xml:space="preserve">T019</t>
  </si>
  <si>
    <t xml:space="preserve">Received part payment from Client B</t>
  </si>
  <si>
    <t xml:space="preserve">T020</t>
  </si>
  <si>
    <t xml:space="preserve">T021</t>
  </si>
  <si>
    <t xml:space="preserve">Paid business travel expense</t>
  </si>
  <si>
    <t xml:space="preserve">Travel Expense</t>
  </si>
  <si>
    <t xml:space="preserve">T022</t>
  </si>
  <si>
    <t xml:space="preserve">Paid bank charges</t>
  </si>
  <si>
    <t xml:space="preserve">Bank Charges Expense</t>
  </si>
  <si>
    <t xml:space="preserve">T023</t>
  </si>
  <si>
    <t xml:space="preserve">T024</t>
  </si>
  <si>
    <t xml:space="preserve">T025</t>
  </si>
  <si>
    <t xml:space="preserve">Received balance part payment from Client A</t>
  </si>
  <si>
    <t xml:space="preserve">T026</t>
  </si>
  <si>
    <t xml:space="preserve">Provided services on credit to Client C</t>
  </si>
  <si>
    <t xml:space="preserve">Accounts Receivable - Client C</t>
  </si>
  <si>
    <t xml:space="preserve">T027</t>
  </si>
  <si>
    <t xml:space="preserve">T028</t>
  </si>
  <si>
    <t xml:space="preserve">T029</t>
  </si>
  <si>
    <t xml:space="preserve">Paid remaining balance to Vendor A</t>
  </si>
  <si>
    <t xml:space="preserve">T030</t>
  </si>
  <si>
    <t xml:space="preserve">T031</t>
  </si>
  <si>
    <t xml:space="preserve">T032</t>
  </si>
  <si>
    <t xml:space="preserve">T033</t>
  </si>
  <si>
    <t xml:space="preserve">Recorded depreciation on office furniture</t>
  </si>
  <si>
    <t xml:space="preserve">Depreciation - Furniture</t>
  </si>
  <si>
    <t xml:space="preserve">Accumulated Depreciation - Furniture</t>
  </si>
  <si>
    <t xml:space="preserve">Year-end adjustment</t>
  </si>
  <si>
    <t xml:space="preserve">T034</t>
  </si>
  <si>
    <t xml:space="preserve">Recorded depreciation on computer equipment</t>
  </si>
  <si>
    <t xml:space="preserve">Depreciation - Computer Equipment</t>
  </si>
  <si>
    <t xml:space="preserve">Accumulated Depreciation - Computer Equipment</t>
  </si>
  <si>
    <t xml:space="preserve">T035</t>
  </si>
  <si>
    <t xml:space="preserve">Salary accrued but unpaid</t>
  </si>
  <si>
    <t xml:space="preserve">Salary Payable</t>
  </si>
  <si>
    <t xml:space="preserve">T036</t>
  </si>
  <si>
    <t xml:space="preserve">Recognized insurance expense for the year</t>
  </si>
  <si>
    <t xml:space="preserve">Insurance Expense</t>
  </si>
  <si>
    <t xml:space="preserve">Particulars</t>
  </si>
  <si>
    <t xml:space="preserve">Debit (INR)</t>
  </si>
  <si>
    <t xml:space="preserve">Credit (INR)</t>
  </si>
  <si>
    <t xml:space="preserve">    To Capital</t>
  </si>
  <si>
    <t xml:space="preserve">    To Bank</t>
  </si>
  <si>
    <t xml:space="preserve">    To Service Revenue</t>
  </si>
  <si>
    <t xml:space="preserve">    To Accounts Receivable - Client A</t>
  </si>
  <si>
    <t xml:space="preserve">    To Accounts Payable - Vendor A</t>
  </si>
  <si>
    <t xml:space="preserve">    To Accounts Receivable - Client B</t>
  </si>
  <si>
    <t xml:space="preserve">    To Accumulated Depreciation - Furniture</t>
  </si>
  <si>
    <t xml:space="preserve">    To Accumulated Depreciation - Computer Equipment</t>
  </si>
  <si>
    <t xml:space="preserve">    To Salary Payable</t>
  </si>
  <si>
    <t xml:space="preserve">    To Prepaid Insurance</t>
  </si>
  <si>
    <t xml:space="preserve">Account</t>
  </si>
  <si>
    <t xml:space="preserve">Total Debit (INR)</t>
  </si>
  <si>
    <t xml:space="preserve">Total Credit (INR)</t>
  </si>
  <si>
    <t xml:space="preserve">Closing Balance (INR)</t>
  </si>
  <si>
    <t xml:space="preserve">Balance Type</t>
  </si>
  <si>
    <t xml:space="preserve">TOTAL</t>
  </si>
  <si>
    <t xml:space="preserve">Check (Debit - Credit)</t>
  </si>
  <si>
    <t xml:space="preserve">Profit &amp; Loss Statement</t>
  </si>
  <si>
    <t xml:space="preserve">For the year ended 31 March 2026</t>
  </si>
  <si>
    <t xml:space="preserve">Income</t>
  </si>
  <si>
    <t xml:space="preserve">Expenses</t>
  </si>
  <si>
    <t xml:space="preserve">Total Expenses</t>
  </si>
  <si>
    <t xml:space="preserve">Net Profit</t>
  </si>
  <si>
    <t xml:space="preserve">Balance Sheet</t>
  </si>
  <si>
    <t xml:space="preserve">As at 31 March 2026</t>
  </si>
  <si>
    <t xml:space="preserve">Assets</t>
  </si>
  <si>
    <t xml:space="preserve">Less: Accumulated Depreciation - Furniture</t>
  </si>
  <si>
    <t xml:space="preserve">Less: Accumulated Depreciation - Computer Equipment</t>
  </si>
  <si>
    <t xml:space="preserve">Total Assets</t>
  </si>
  <si>
    <t xml:space="preserve">Liabilities &amp; Equity</t>
  </si>
  <si>
    <t xml:space="preserve">Current Year Net Profit</t>
  </si>
  <si>
    <t xml:space="preserve">Total Liabilities &amp; Equity</t>
  </si>
  <si>
    <t xml:space="preserve">Balance Check (Assets - L&amp;E)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</si>
</sst>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ansactionsTable" displayName="TransactionsTable" ref="A1:G37" headerRowCount="1" totalsRowCount="0" totalsRowShown="0">
  <autoFilter ref="A1:G37"/>
  <tableColumns count="7">
    <tableColumn id="1" name="Date"/>
    <tableColumn id="2" name="Transaction ID"/>
    <tableColumn id="3" name="Description"/>
    <tableColumn id="4" name="Debit Account"/>
    <tableColumn id="5" name="Credit Account"/>
    <tableColumn id="6" name="Amount (INR)"/>
    <tableColumn id="7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</cols>
  <sheetData>
    <row r="1" customFormat="false" ht="22.35" hidden="false" customHeight="true" outlineLevel="0" collapsed="false">
      <c r="A1" s="1" t="s">
        <v>0</v>
      </c>
      <c r="B1" s="1"/>
      <c r="C1" s="1"/>
      <c r="D1" s="1"/>
    </row>
    <row r="3" customFormat="false" ht="17.9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0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2" customFormat="false" ht="15" hidden="false" customHeight="false" outlineLevel="0" collapsed="false">
      <c r="A12" s="5" t="s">
        <v>15</v>
      </c>
    </row>
    <row r="13" customFormat="false" ht="15" hidden="false" customHeight="true" outlineLevel="0" collapsed="false">
      <c r="A13" s="6" t="s">
        <v>16</v>
      </c>
      <c r="B13" s="6"/>
      <c r="C13" s="6"/>
      <c r="D13" s="6"/>
    </row>
  </sheetData>
  <mergeCells count="2">
    <mergeCell ref="A1:D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8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8.35" hidden="false" customHeight="false" outlineLevel="0" collapsed="false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</row>
    <row r="2" customFormat="false" ht="15" hidden="false" customHeight="false" outlineLevel="0" collapsed="false">
      <c r="A2" s="8" t="n">
        <v>45748</v>
      </c>
      <c r="B2" s="4" t="s">
        <v>24</v>
      </c>
      <c r="C2" s="4" t="s">
        <v>25</v>
      </c>
      <c r="D2" s="4" t="s">
        <v>26</v>
      </c>
      <c r="E2" s="4" t="s">
        <v>27</v>
      </c>
      <c r="F2" s="9" t="n">
        <v>500000</v>
      </c>
      <c r="G2" s="4"/>
    </row>
    <row r="3" customFormat="false" ht="15" hidden="false" customHeight="false" outlineLevel="0" collapsed="false">
      <c r="A3" s="8" t="n">
        <v>45750</v>
      </c>
      <c r="B3" s="4" t="s">
        <v>28</v>
      </c>
      <c r="C3" s="4" t="s">
        <v>29</v>
      </c>
      <c r="D3" s="4" t="s">
        <v>30</v>
      </c>
      <c r="E3" s="4" t="s">
        <v>26</v>
      </c>
      <c r="F3" s="9" t="n">
        <v>60000</v>
      </c>
      <c r="G3" s="4"/>
    </row>
    <row r="4" customFormat="false" ht="15" hidden="false" customHeight="false" outlineLevel="0" collapsed="false">
      <c r="A4" s="8" t="n">
        <v>45752</v>
      </c>
      <c r="B4" s="4" t="s">
        <v>31</v>
      </c>
      <c r="C4" s="4" t="s">
        <v>32</v>
      </c>
      <c r="D4" s="4" t="s">
        <v>33</v>
      </c>
      <c r="E4" s="4" t="s">
        <v>26</v>
      </c>
      <c r="F4" s="9" t="n">
        <v>80000</v>
      </c>
      <c r="G4" s="4"/>
    </row>
    <row r="5" customFormat="false" ht="15" hidden="false" customHeight="false" outlineLevel="0" collapsed="false">
      <c r="A5" s="8" t="n">
        <v>45754</v>
      </c>
      <c r="B5" s="4" t="s">
        <v>34</v>
      </c>
      <c r="C5" s="4" t="s">
        <v>35</v>
      </c>
      <c r="D5" s="4" t="s">
        <v>36</v>
      </c>
      <c r="E5" s="4" t="s">
        <v>26</v>
      </c>
      <c r="F5" s="9" t="n">
        <v>24000</v>
      </c>
      <c r="G5" s="4"/>
    </row>
    <row r="6" customFormat="false" ht="15" hidden="false" customHeight="false" outlineLevel="0" collapsed="false">
      <c r="A6" s="8" t="n">
        <v>45757</v>
      </c>
      <c r="B6" s="4" t="s">
        <v>37</v>
      </c>
      <c r="C6" s="4" t="s">
        <v>38</v>
      </c>
      <c r="D6" s="4" t="s">
        <v>39</v>
      </c>
      <c r="E6" s="4" t="s">
        <v>26</v>
      </c>
      <c r="F6" s="9" t="n">
        <v>12000</v>
      </c>
      <c r="G6" s="4"/>
    </row>
    <row r="7" customFormat="false" ht="15" hidden="false" customHeight="false" outlineLevel="0" collapsed="false">
      <c r="A7" s="8" t="n">
        <v>45759</v>
      </c>
      <c r="B7" s="4" t="s">
        <v>40</v>
      </c>
      <c r="C7" s="4" t="s">
        <v>41</v>
      </c>
      <c r="D7" s="4" t="s">
        <v>42</v>
      </c>
      <c r="E7" s="4" t="s">
        <v>26</v>
      </c>
      <c r="F7" s="9" t="n">
        <v>5000</v>
      </c>
      <c r="G7" s="4"/>
    </row>
    <row r="8" customFormat="false" ht="15" hidden="false" customHeight="false" outlineLevel="0" collapsed="false">
      <c r="A8" s="8" t="n">
        <v>45762</v>
      </c>
      <c r="B8" s="4" t="s">
        <v>43</v>
      </c>
      <c r="C8" s="4" t="s">
        <v>44</v>
      </c>
      <c r="D8" s="4" t="s">
        <v>26</v>
      </c>
      <c r="E8" s="4" t="s">
        <v>45</v>
      </c>
      <c r="F8" s="9" t="n">
        <v>100000</v>
      </c>
      <c r="G8" s="4"/>
    </row>
    <row r="9" customFormat="false" ht="15" hidden="false" customHeight="false" outlineLevel="0" collapsed="false">
      <c r="A9" s="8" t="n">
        <v>45767</v>
      </c>
      <c r="B9" s="4" t="s">
        <v>46</v>
      </c>
      <c r="C9" s="4" t="s">
        <v>47</v>
      </c>
      <c r="D9" s="4" t="s">
        <v>48</v>
      </c>
      <c r="E9" s="4" t="s">
        <v>45</v>
      </c>
      <c r="F9" s="9" t="n">
        <v>80000</v>
      </c>
      <c r="G9" s="4"/>
    </row>
    <row r="10" customFormat="false" ht="15" hidden="false" customHeight="false" outlineLevel="0" collapsed="false">
      <c r="A10" s="8" t="n">
        <v>45772</v>
      </c>
      <c r="B10" s="4" t="s">
        <v>49</v>
      </c>
      <c r="C10" s="4" t="s">
        <v>50</v>
      </c>
      <c r="D10" s="4" t="s">
        <v>51</v>
      </c>
      <c r="E10" s="4" t="s">
        <v>26</v>
      </c>
      <c r="F10" s="9" t="n">
        <v>30000</v>
      </c>
      <c r="G10" s="4"/>
    </row>
    <row r="11" customFormat="false" ht="15" hidden="false" customHeight="false" outlineLevel="0" collapsed="false">
      <c r="A11" s="8" t="n">
        <v>45782</v>
      </c>
      <c r="B11" s="4" t="s">
        <v>52</v>
      </c>
      <c r="C11" s="4" t="s">
        <v>53</v>
      </c>
      <c r="D11" s="4" t="s">
        <v>54</v>
      </c>
      <c r="E11" s="4" t="s">
        <v>26</v>
      </c>
      <c r="F11" s="9" t="n">
        <v>6000</v>
      </c>
      <c r="G11" s="4"/>
    </row>
    <row r="12" customFormat="false" ht="15" hidden="false" customHeight="false" outlineLevel="0" collapsed="false">
      <c r="A12" s="8" t="n">
        <v>45787</v>
      </c>
      <c r="B12" s="4" t="s">
        <v>55</v>
      </c>
      <c r="C12" s="4" t="s">
        <v>56</v>
      </c>
      <c r="D12" s="4" t="s">
        <v>57</v>
      </c>
      <c r="E12" s="4" t="s">
        <v>26</v>
      </c>
      <c r="F12" s="9" t="n">
        <v>8000</v>
      </c>
      <c r="G12" s="4"/>
    </row>
    <row r="13" customFormat="false" ht="15" hidden="false" customHeight="false" outlineLevel="0" collapsed="false">
      <c r="A13" s="8" t="n">
        <v>45795</v>
      </c>
      <c r="B13" s="4" t="s">
        <v>58</v>
      </c>
      <c r="C13" s="4" t="s">
        <v>44</v>
      </c>
      <c r="D13" s="4" t="s">
        <v>26</v>
      </c>
      <c r="E13" s="4" t="s">
        <v>45</v>
      </c>
      <c r="F13" s="9" t="n">
        <v>120000</v>
      </c>
      <c r="G13" s="4"/>
    </row>
    <row r="14" customFormat="false" ht="15" hidden="false" customHeight="false" outlineLevel="0" collapsed="false">
      <c r="A14" s="8" t="n">
        <v>45802</v>
      </c>
      <c r="B14" s="4" t="s">
        <v>59</v>
      </c>
      <c r="C14" s="4" t="s">
        <v>60</v>
      </c>
      <c r="D14" s="4" t="s">
        <v>26</v>
      </c>
      <c r="E14" s="4" t="s">
        <v>48</v>
      </c>
      <c r="F14" s="9" t="n">
        <v>50000</v>
      </c>
      <c r="G14" s="4"/>
    </row>
    <row r="15" customFormat="false" ht="15" hidden="false" customHeight="false" outlineLevel="0" collapsed="false">
      <c r="A15" s="8" t="n">
        <v>45813</v>
      </c>
      <c r="B15" s="4" t="s">
        <v>61</v>
      </c>
      <c r="C15" s="4" t="s">
        <v>62</v>
      </c>
      <c r="D15" s="4" t="s">
        <v>63</v>
      </c>
      <c r="E15" s="4" t="s">
        <v>45</v>
      </c>
      <c r="F15" s="9" t="n">
        <v>70000</v>
      </c>
      <c r="G15" s="4"/>
    </row>
    <row r="16" customFormat="false" ht="15" hidden="false" customHeight="false" outlineLevel="0" collapsed="false">
      <c r="A16" s="8" t="n">
        <v>45818</v>
      </c>
      <c r="B16" s="4" t="s">
        <v>64</v>
      </c>
      <c r="C16" s="4" t="s">
        <v>50</v>
      </c>
      <c r="D16" s="4" t="s">
        <v>51</v>
      </c>
      <c r="E16" s="4" t="s">
        <v>26</v>
      </c>
      <c r="F16" s="9" t="n">
        <v>30000</v>
      </c>
      <c r="G16" s="4"/>
    </row>
    <row r="17" customFormat="false" ht="15" hidden="false" customHeight="false" outlineLevel="0" collapsed="false">
      <c r="A17" s="8" t="n">
        <v>45823</v>
      </c>
      <c r="B17" s="4" t="s">
        <v>65</v>
      </c>
      <c r="C17" s="4" t="s">
        <v>35</v>
      </c>
      <c r="D17" s="4" t="s">
        <v>36</v>
      </c>
      <c r="E17" s="4" t="s">
        <v>26</v>
      </c>
      <c r="F17" s="9" t="n">
        <v>24000</v>
      </c>
      <c r="G17" s="4"/>
    </row>
    <row r="18" customFormat="false" ht="15" hidden="false" customHeight="false" outlineLevel="0" collapsed="false">
      <c r="A18" s="8" t="n">
        <v>45828</v>
      </c>
      <c r="B18" s="4" t="s">
        <v>66</v>
      </c>
      <c r="C18" s="4" t="s">
        <v>67</v>
      </c>
      <c r="D18" s="4" t="s">
        <v>42</v>
      </c>
      <c r="E18" s="4" t="s">
        <v>68</v>
      </c>
      <c r="F18" s="9" t="n">
        <v>4000</v>
      </c>
      <c r="G18" s="4"/>
    </row>
    <row r="19" customFormat="false" ht="15" hidden="false" customHeight="false" outlineLevel="0" collapsed="false">
      <c r="A19" s="8" t="n">
        <v>45836</v>
      </c>
      <c r="B19" s="4" t="s">
        <v>69</v>
      </c>
      <c r="C19" s="4" t="s">
        <v>70</v>
      </c>
      <c r="D19" s="4" t="s">
        <v>68</v>
      </c>
      <c r="E19" s="4" t="s">
        <v>26</v>
      </c>
      <c r="F19" s="9" t="n">
        <v>2000</v>
      </c>
      <c r="G19" s="4"/>
    </row>
    <row r="20" customFormat="false" ht="15" hidden="false" customHeight="false" outlineLevel="0" collapsed="false">
      <c r="A20" s="8" t="n">
        <v>45843</v>
      </c>
      <c r="B20" s="4" t="s">
        <v>71</v>
      </c>
      <c r="C20" s="4" t="s">
        <v>72</v>
      </c>
      <c r="D20" s="4" t="s">
        <v>26</v>
      </c>
      <c r="E20" s="4" t="s">
        <v>63</v>
      </c>
      <c r="F20" s="9" t="n">
        <v>40000</v>
      </c>
      <c r="G20" s="4"/>
    </row>
    <row r="21" customFormat="false" ht="15" hidden="false" customHeight="false" outlineLevel="0" collapsed="false">
      <c r="A21" s="8" t="n">
        <v>45850</v>
      </c>
      <c r="B21" s="4" t="s">
        <v>73</v>
      </c>
      <c r="C21" s="4" t="s">
        <v>44</v>
      </c>
      <c r="D21" s="4" t="s">
        <v>26</v>
      </c>
      <c r="E21" s="4" t="s">
        <v>45</v>
      </c>
      <c r="F21" s="9" t="n">
        <v>90000</v>
      </c>
      <c r="G21" s="4"/>
    </row>
    <row r="22" customFormat="false" ht="15" hidden="false" customHeight="false" outlineLevel="0" collapsed="false">
      <c r="A22" s="8" t="n">
        <v>45858</v>
      </c>
      <c r="B22" s="4" t="s">
        <v>74</v>
      </c>
      <c r="C22" s="4" t="s">
        <v>75</v>
      </c>
      <c r="D22" s="4" t="s">
        <v>76</v>
      </c>
      <c r="E22" s="4" t="s">
        <v>26</v>
      </c>
      <c r="F22" s="9" t="n">
        <v>7000</v>
      </c>
      <c r="G22" s="4"/>
    </row>
    <row r="23" customFormat="false" ht="15" hidden="false" customHeight="false" outlineLevel="0" collapsed="false">
      <c r="A23" s="8" t="n">
        <v>45863</v>
      </c>
      <c r="B23" s="4" t="s">
        <v>77</v>
      </c>
      <c r="C23" s="4" t="s">
        <v>78</v>
      </c>
      <c r="D23" s="4" t="s">
        <v>79</v>
      </c>
      <c r="E23" s="4" t="s">
        <v>26</v>
      </c>
      <c r="F23" s="9" t="n">
        <v>1500</v>
      </c>
      <c r="G23" s="4"/>
    </row>
    <row r="24" customFormat="false" ht="15" hidden="false" customHeight="false" outlineLevel="0" collapsed="false">
      <c r="A24" s="8" t="n">
        <v>45874</v>
      </c>
      <c r="B24" s="4" t="s">
        <v>80</v>
      </c>
      <c r="C24" s="4" t="s">
        <v>50</v>
      </c>
      <c r="D24" s="4" t="s">
        <v>51</v>
      </c>
      <c r="E24" s="4" t="s">
        <v>26</v>
      </c>
      <c r="F24" s="9" t="n">
        <v>30000</v>
      </c>
      <c r="G24" s="4"/>
    </row>
    <row r="25" customFormat="false" ht="15" hidden="false" customHeight="false" outlineLevel="0" collapsed="false">
      <c r="A25" s="8" t="n">
        <v>45884</v>
      </c>
      <c r="B25" s="4" t="s">
        <v>81</v>
      </c>
      <c r="C25" s="4" t="s">
        <v>35</v>
      </c>
      <c r="D25" s="4" t="s">
        <v>36</v>
      </c>
      <c r="E25" s="4" t="s">
        <v>26</v>
      </c>
      <c r="F25" s="9" t="n">
        <v>24000</v>
      </c>
      <c r="G25" s="4"/>
    </row>
    <row r="26" customFormat="false" ht="15" hidden="false" customHeight="false" outlineLevel="0" collapsed="false">
      <c r="A26" s="8" t="n">
        <v>45889</v>
      </c>
      <c r="B26" s="4" t="s">
        <v>82</v>
      </c>
      <c r="C26" s="4" t="s">
        <v>83</v>
      </c>
      <c r="D26" s="4" t="s">
        <v>26</v>
      </c>
      <c r="E26" s="4" t="s">
        <v>48</v>
      </c>
      <c r="F26" s="9" t="n">
        <v>30000</v>
      </c>
      <c r="G26" s="4"/>
    </row>
    <row r="27" customFormat="false" ht="15" hidden="false" customHeight="false" outlineLevel="0" collapsed="false">
      <c r="A27" s="8" t="n">
        <v>45901</v>
      </c>
      <c r="B27" s="4" t="s">
        <v>84</v>
      </c>
      <c r="C27" s="4" t="s">
        <v>85</v>
      </c>
      <c r="D27" s="4" t="s">
        <v>86</v>
      </c>
      <c r="E27" s="4" t="s">
        <v>45</v>
      </c>
      <c r="F27" s="9" t="n">
        <v>60000</v>
      </c>
      <c r="G27" s="4"/>
    </row>
    <row r="28" customFormat="false" ht="15" hidden="false" customHeight="false" outlineLevel="0" collapsed="false">
      <c r="A28" s="8" t="n">
        <v>45910</v>
      </c>
      <c r="B28" s="4" t="s">
        <v>87</v>
      </c>
      <c r="C28" s="4" t="s">
        <v>53</v>
      </c>
      <c r="D28" s="4" t="s">
        <v>54</v>
      </c>
      <c r="E28" s="4" t="s">
        <v>26</v>
      </c>
      <c r="F28" s="9" t="n">
        <v>6500</v>
      </c>
      <c r="G28" s="4"/>
    </row>
    <row r="29" customFormat="false" ht="15" hidden="false" customHeight="false" outlineLevel="0" collapsed="false">
      <c r="A29" s="8" t="n">
        <v>45918</v>
      </c>
      <c r="B29" s="4" t="s">
        <v>88</v>
      </c>
      <c r="C29" s="4" t="s">
        <v>56</v>
      </c>
      <c r="D29" s="4" t="s">
        <v>57</v>
      </c>
      <c r="E29" s="4" t="s">
        <v>26</v>
      </c>
      <c r="F29" s="9" t="n">
        <v>5000</v>
      </c>
      <c r="G29" s="4"/>
    </row>
    <row r="30" customFormat="false" ht="15" hidden="false" customHeight="false" outlineLevel="0" collapsed="false">
      <c r="A30" s="8" t="n">
        <v>45925</v>
      </c>
      <c r="B30" s="4" t="s">
        <v>89</v>
      </c>
      <c r="C30" s="4" t="s">
        <v>90</v>
      </c>
      <c r="D30" s="4" t="s">
        <v>68</v>
      </c>
      <c r="E30" s="4" t="s">
        <v>26</v>
      </c>
      <c r="F30" s="9" t="n">
        <v>2000</v>
      </c>
      <c r="G30" s="4"/>
    </row>
    <row r="31" customFormat="false" ht="15" hidden="false" customHeight="false" outlineLevel="0" collapsed="false">
      <c r="A31" s="8" t="n">
        <v>45935</v>
      </c>
      <c r="B31" s="4" t="s">
        <v>91</v>
      </c>
      <c r="C31" s="4" t="s">
        <v>44</v>
      </c>
      <c r="D31" s="4" t="s">
        <v>26</v>
      </c>
      <c r="E31" s="4" t="s">
        <v>45</v>
      </c>
      <c r="F31" s="9" t="n">
        <v>110000</v>
      </c>
      <c r="G31" s="4"/>
    </row>
    <row r="32" customFormat="false" ht="15" hidden="false" customHeight="false" outlineLevel="0" collapsed="false">
      <c r="A32" s="8" t="n">
        <v>45940</v>
      </c>
      <c r="B32" s="4" t="s">
        <v>92</v>
      </c>
      <c r="C32" s="4" t="s">
        <v>50</v>
      </c>
      <c r="D32" s="4" t="s">
        <v>51</v>
      </c>
      <c r="E32" s="4" t="s">
        <v>26</v>
      </c>
      <c r="F32" s="9" t="n">
        <v>30000</v>
      </c>
      <c r="G32" s="4"/>
    </row>
    <row r="33" customFormat="false" ht="15" hidden="false" customHeight="false" outlineLevel="0" collapsed="false">
      <c r="A33" s="8" t="n">
        <v>45945</v>
      </c>
      <c r="B33" s="4" t="s">
        <v>93</v>
      </c>
      <c r="C33" s="4" t="s">
        <v>35</v>
      </c>
      <c r="D33" s="4" t="s">
        <v>36</v>
      </c>
      <c r="E33" s="4" t="s">
        <v>26</v>
      </c>
      <c r="F33" s="9" t="n">
        <v>24000</v>
      </c>
      <c r="G33" s="4"/>
    </row>
    <row r="34" customFormat="false" ht="15" hidden="false" customHeight="false" outlineLevel="0" collapsed="false">
      <c r="A34" s="8" t="n">
        <v>46112</v>
      </c>
      <c r="B34" s="4" t="s">
        <v>94</v>
      </c>
      <c r="C34" s="4" t="s">
        <v>95</v>
      </c>
      <c r="D34" s="4" t="s">
        <v>96</v>
      </c>
      <c r="E34" s="4" t="s">
        <v>97</v>
      </c>
      <c r="F34" s="9" t="n">
        <v>6000</v>
      </c>
      <c r="G34" s="4" t="s">
        <v>98</v>
      </c>
    </row>
    <row r="35" customFormat="false" ht="28.35" hidden="false" customHeight="false" outlineLevel="0" collapsed="false">
      <c r="A35" s="8" t="n">
        <v>46112</v>
      </c>
      <c r="B35" s="4" t="s">
        <v>99</v>
      </c>
      <c r="C35" s="4" t="s">
        <v>100</v>
      </c>
      <c r="D35" s="4" t="s">
        <v>101</v>
      </c>
      <c r="E35" s="4" t="s">
        <v>102</v>
      </c>
      <c r="F35" s="9" t="n">
        <v>16000</v>
      </c>
      <c r="G35" s="4" t="s">
        <v>98</v>
      </c>
    </row>
    <row r="36" customFormat="false" ht="15" hidden="false" customHeight="false" outlineLevel="0" collapsed="false">
      <c r="A36" s="8" t="n">
        <v>46112</v>
      </c>
      <c r="B36" s="4" t="s">
        <v>103</v>
      </c>
      <c r="C36" s="4" t="s">
        <v>104</v>
      </c>
      <c r="D36" s="4" t="s">
        <v>51</v>
      </c>
      <c r="E36" s="4" t="s">
        <v>105</v>
      </c>
      <c r="F36" s="9" t="n">
        <v>5000</v>
      </c>
      <c r="G36" s="4" t="s">
        <v>98</v>
      </c>
    </row>
    <row r="37" customFormat="false" ht="15" hidden="false" customHeight="false" outlineLevel="0" collapsed="false">
      <c r="A37" s="8" t="n">
        <v>46112</v>
      </c>
      <c r="B37" s="4" t="s">
        <v>106</v>
      </c>
      <c r="C37" s="4" t="s">
        <v>107</v>
      </c>
      <c r="D37" s="4" t="s">
        <v>108</v>
      </c>
      <c r="E37" s="4" t="s">
        <v>39</v>
      </c>
      <c r="F37" s="9" t="n">
        <v>12000</v>
      </c>
      <c r="G37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0"/>
    <col collapsed="false" customWidth="true" hidden="false" outlineLevel="0" max="5" min="4" style="0" width="16"/>
  </cols>
  <sheetData>
    <row r="1" customFormat="false" ht="28.35" hidden="false" customHeight="false" outlineLevel="0" collapsed="false">
      <c r="A1" s="7" t="s">
        <v>17</v>
      </c>
      <c r="B1" s="7" t="s">
        <v>18</v>
      </c>
      <c r="C1" s="7" t="s">
        <v>109</v>
      </c>
      <c r="D1" s="7" t="s">
        <v>110</v>
      </c>
      <c r="E1" s="7" t="s">
        <v>111</v>
      </c>
    </row>
    <row r="2" customFormat="false" ht="15" hidden="false" customHeight="false" outlineLevel="0" collapsed="false">
      <c r="A2" s="8" t="n">
        <v>45748</v>
      </c>
      <c r="B2" s="4" t="s">
        <v>24</v>
      </c>
      <c r="C2" s="4" t="s">
        <v>26</v>
      </c>
      <c r="D2" s="9" t="n">
        <v>500000</v>
      </c>
      <c r="E2" s="9" t="n">
        <v>0</v>
      </c>
    </row>
    <row r="3" customFormat="false" ht="15" hidden="false" customHeight="false" outlineLevel="0" collapsed="false">
      <c r="A3" s="8" t="n">
        <v>45748</v>
      </c>
      <c r="B3" s="4" t="s">
        <v>24</v>
      </c>
      <c r="C3" s="4" t="s">
        <v>112</v>
      </c>
      <c r="D3" s="9" t="n">
        <v>0</v>
      </c>
      <c r="E3" s="9" t="n">
        <v>500000</v>
      </c>
    </row>
    <row r="4" customFormat="false" ht="15" hidden="false" customHeight="false" outlineLevel="0" collapsed="false">
      <c r="A4" s="8" t="n">
        <v>45750</v>
      </c>
      <c r="B4" s="4" t="s">
        <v>28</v>
      </c>
      <c r="C4" s="4" t="s">
        <v>30</v>
      </c>
      <c r="D4" s="9" t="n">
        <v>60000</v>
      </c>
      <c r="E4" s="9" t="n">
        <v>0</v>
      </c>
    </row>
    <row r="5" customFormat="false" ht="15" hidden="false" customHeight="false" outlineLevel="0" collapsed="false">
      <c r="A5" s="8" t="n">
        <v>45750</v>
      </c>
      <c r="B5" s="4" t="s">
        <v>28</v>
      </c>
      <c r="C5" s="4" t="s">
        <v>113</v>
      </c>
      <c r="D5" s="9" t="n">
        <v>0</v>
      </c>
      <c r="E5" s="9" t="n">
        <v>60000</v>
      </c>
    </row>
    <row r="6" customFormat="false" ht="15" hidden="false" customHeight="false" outlineLevel="0" collapsed="false">
      <c r="A6" s="8" t="n">
        <v>45752</v>
      </c>
      <c r="B6" s="4" t="s">
        <v>31</v>
      </c>
      <c r="C6" s="4" t="s">
        <v>33</v>
      </c>
      <c r="D6" s="9" t="n">
        <v>80000</v>
      </c>
      <c r="E6" s="9" t="n">
        <v>0</v>
      </c>
    </row>
    <row r="7" customFormat="false" ht="15" hidden="false" customHeight="false" outlineLevel="0" collapsed="false">
      <c r="A7" s="8" t="n">
        <v>45752</v>
      </c>
      <c r="B7" s="4" t="s">
        <v>31</v>
      </c>
      <c r="C7" s="4" t="s">
        <v>113</v>
      </c>
      <c r="D7" s="9" t="n">
        <v>0</v>
      </c>
      <c r="E7" s="9" t="n">
        <v>80000</v>
      </c>
    </row>
    <row r="8" customFormat="false" ht="15" hidden="false" customHeight="false" outlineLevel="0" collapsed="false">
      <c r="A8" s="8" t="n">
        <v>45754</v>
      </c>
      <c r="B8" s="4" t="s">
        <v>34</v>
      </c>
      <c r="C8" s="4" t="s">
        <v>36</v>
      </c>
      <c r="D8" s="9" t="n">
        <v>24000</v>
      </c>
      <c r="E8" s="9" t="n">
        <v>0</v>
      </c>
    </row>
    <row r="9" customFormat="false" ht="15" hidden="false" customHeight="false" outlineLevel="0" collapsed="false">
      <c r="A9" s="8" t="n">
        <v>45754</v>
      </c>
      <c r="B9" s="4" t="s">
        <v>34</v>
      </c>
      <c r="C9" s="4" t="s">
        <v>113</v>
      </c>
      <c r="D9" s="9" t="n">
        <v>0</v>
      </c>
      <c r="E9" s="9" t="n">
        <v>24000</v>
      </c>
    </row>
    <row r="10" customFormat="false" ht="15" hidden="false" customHeight="false" outlineLevel="0" collapsed="false">
      <c r="A10" s="8" t="n">
        <v>45757</v>
      </c>
      <c r="B10" s="4" t="s">
        <v>37</v>
      </c>
      <c r="C10" s="4" t="s">
        <v>39</v>
      </c>
      <c r="D10" s="9" t="n">
        <v>12000</v>
      </c>
      <c r="E10" s="9" t="n">
        <v>0</v>
      </c>
    </row>
    <row r="11" customFormat="false" ht="15" hidden="false" customHeight="false" outlineLevel="0" collapsed="false">
      <c r="A11" s="8" t="n">
        <v>45757</v>
      </c>
      <c r="B11" s="4" t="s">
        <v>37</v>
      </c>
      <c r="C11" s="4" t="s">
        <v>113</v>
      </c>
      <c r="D11" s="9" t="n">
        <v>0</v>
      </c>
      <c r="E11" s="9" t="n">
        <v>12000</v>
      </c>
    </row>
    <row r="12" customFormat="false" ht="15" hidden="false" customHeight="false" outlineLevel="0" collapsed="false">
      <c r="A12" s="8" t="n">
        <v>45759</v>
      </c>
      <c r="B12" s="4" t="s">
        <v>40</v>
      </c>
      <c r="C12" s="4" t="s">
        <v>42</v>
      </c>
      <c r="D12" s="9" t="n">
        <v>5000</v>
      </c>
      <c r="E12" s="9" t="n">
        <v>0</v>
      </c>
    </row>
    <row r="13" customFormat="false" ht="15" hidden="false" customHeight="false" outlineLevel="0" collapsed="false">
      <c r="A13" s="8" t="n">
        <v>45759</v>
      </c>
      <c r="B13" s="4" t="s">
        <v>40</v>
      </c>
      <c r="C13" s="4" t="s">
        <v>113</v>
      </c>
      <c r="D13" s="9" t="n">
        <v>0</v>
      </c>
      <c r="E13" s="9" t="n">
        <v>5000</v>
      </c>
    </row>
    <row r="14" customFormat="false" ht="15" hidden="false" customHeight="false" outlineLevel="0" collapsed="false">
      <c r="A14" s="8" t="n">
        <v>45762</v>
      </c>
      <c r="B14" s="4" t="s">
        <v>43</v>
      </c>
      <c r="C14" s="4" t="s">
        <v>26</v>
      </c>
      <c r="D14" s="9" t="n">
        <v>100000</v>
      </c>
      <c r="E14" s="9" t="n">
        <v>0</v>
      </c>
    </row>
    <row r="15" customFormat="false" ht="15" hidden="false" customHeight="false" outlineLevel="0" collapsed="false">
      <c r="A15" s="8" t="n">
        <v>45762</v>
      </c>
      <c r="B15" s="4" t="s">
        <v>43</v>
      </c>
      <c r="C15" s="4" t="s">
        <v>114</v>
      </c>
      <c r="D15" s="9" t="n">
        <v>0</v>
      </c>
      <c r="E15" s="9" t="n">
        <v>100000</v>
      </c>
    </row>
    <row r="16" customFormat="false" ht="15" hidden="false" customHeight="false" outlineLevel="0" collapsed="false">
      <c r="A16" s="8" t="n">
        <v>45767</v>
      </c>
      <c r="B16" s="4" t="s">
        <v>46</v>
      </c>
      <c r="C16" s="4" t="s">
        <v>48</v>
      </c>
      <c r="D16" s="9" t="n">
        <v>80000</v>
      </c>
      <c r="E16" s="9" t="n">
        <v>0</v>
      </c>
    </row>
    <row r="17" customFormat="false" ht="15" hidden="false" customHeight="false" outlineLevel="0" collapsed="false">
      <c r="A17" s="8" t="n">
        <v>45767</v>
      </c>
      <c r="B17" s="4" t="s">
        <v>46</v>
      </c>
      <c r="C17" s="4" t="s">
        <v>114</v>
      </c>
      <c r="D17" s="9" t="n">
        <v>0</v>
      </c>
      <c r="E17" s="9" t="n">
        <v>80000</v>
      </c>
    </row>
    <row r="18" customFormat="false" ht="15" hidden="false" customHeight="false" outlineLevel="0" collapsed="false">
      <c r="A18" s="8" t="n">
        <v>45772</v>
      </c>
      <c r="B18" s="4" t="s">
        <v>49</v>
      </c>
      <c r="C18" s="4" t="s">
        <v>51</v>
      </c>
      <c r="D18" s="9" t="n">
        <v>30000</v>
      </c>
      <c r="E18" s="9" t="n">
        <v>0</v>
      </c>
    </row>
    <row r="19" customFormat="false" ht="15" hidden="false" customHeight="false" outlineLevel="0" collapsed="false">
      <c r="A19" s="8" t="n">
        <v>45772</v>
      </c>
      <c r="B19" s="4" t="s">
        <v>49</v>
      </c>
      <c r="C19" s="4" t="s">
        <v>113</v>
      </c>
      <c r="D19" s="9" t="n">
        <v>0</v>
      </c>
      <c r="E19" s="9" t="n">
        <v>30000</v>
      </c>
    </row>
    <row r="20" customFormat="false" ht="15" hidden="false" customHeight="false" outlineLevel="0" collapsed="false">
      <c r="A20" s="8" t="n">
        <v>45782</v>
      </c>
      <c r="B20" s="4" t="s">
        <v>52</v>
      </c>
      <c r="C20" s="4" t="s">
        <v>54</v>
      </c>
      <c r="D20" s="9" t="n">
        <v>6000</v>
      </c>
      <c r="E20" s="9" t="n">
        <v>0</v>
      </c>
    </row>
    <row r="21" customFormat="false" ht="15" hidden="false" customHeight="false" outlineLevel="0" collapsed="false">
      <c r="A21" s="8" t="n">
        <v>45782</v>
      </c>
      <c r="B21" s="4" t="s">
        <v>52</v>
      </c>
      <c r="C21" s="4" t="s">
        <v>113</v>
      </c>
      <c r="D21" s="9" t="n">
        <v>0</v>
      </c>
      <c r="E21" s="9" t="n">
        <v>6000</v>
      </c>
    </row>
    <row r="22" customFormat="false" ht="15" hidden="false" customHeight="false" outlineLevel="0" collapsed="false">
      <c r="A22" s="8" t="n">
        <v>45787</v>
      </c>
      <c r="B22" s="4" t="s">
        <v>55</v>
      </c>
      <c r="C22" s="4" t="s">
        <v>57</v>
      </c>
      <c r="D22" s="9" t="n">
        <v>8000</v>
      </c>
      <c r="E22" s="9" t="n">
        <v>0</v>
      </c>
    </row>
    <row r="23" customFormat="false" ht="15" hidden="false" customHeight="false" outlineLevel="0" collapsed="false">
      <c r="A23" s="8" t="n">
        <v>45787</v>
      </c>
      <c r="B23" s="4" t="s">
        <v>55</v>
      </c>
      <c r="C23" s="4" t="s">
        <v>113</v>
      </c>
      <c r="D23" s="9" t="n">
        <v>0</v>
      </c>
      <c r="E23" s="9" t="n">
        <v>8000</v>
      </c>
    </row>
    <row r="24" customFormat="false" ht="15" hidden="false" customHeight="false" outlineLevel="0" collapsed="false">
      <c r="A24" s="8" t="n">
        <v>45795</v>
      </c>
      <c r="B24" s="4" t="s">
        <v>58</v>
      </c>
      <c r="C24" s="4" t="s">
        <v>26</v>
      </c>
      <c r="D24" s="9" t="n">
        <v>120000</v>
      </c>
      <c r="E24" s="9" t="n">
        <v>0</v>
      </c>
    </row>
    <row r="25" customFormat="false" ht="15" hidden="false" customHeight="false" outlineLevel="0" collapsed="false">
      <c r="A25" s="8" t="n">
        <v>45795</v>
      </c>
      <c r="B25" s="4" t="s">
        <v>58</v>
      </c>
      <c r="C25" s="4" t="s">
        <v>114</v>
      </c>
      <c r="D25" s="9" t="n">
        <v>0</v>
      </c>
      <c r="E25" s="9" t="n">
        <v>120000</v>
      </c>
    </row>
    <row r="26" customFormat="false" ht="15" hidden="false" customHeight="false" outlineLevel="0" collapsed="false">
      <c r="A26" s="8" t="n">
        <v>45802</v>
      </c>
      <c r="B26" s="4" t="s">
        <v>59</v>
      </c>
      <c r="C26" s="4" t="s">
        <v>26</v>
      </c>
      <c r="D26" s="9" t="n">
        <v>50000</v>
      </c>
      <c r="E26" s="9" t="n">
        <v>0</v>
      </c>
    </row>
    <row r="27" customFormat="false" ht="15" hidden="false" customHeight="false" outlineLevel="0" collapsed="false">
      <c r="A27" s="8" t="n">
        <v>45802</v>
      </c>
      <c r="B27" s="4" t="s">
        <v>59</v>
      </c>
      <c r="C27" s="4" t="s">
        <v>115</v>
      </c>
      <c r="D27" s="9" t="n">
        <v>0</v>
      </c>
      <c r="E27" s="9" t="n">
        <v>50000</v>
      </c>
    </row>
    <row r="28" customFormat="false" ht="15" hidden="false" customHeight="false" outlineLevel="0" collapsed="false">
      <c r="A28" s="8" t="n">
        <v>45813</v>
      </c>
      <c r="B28" s="4" t="s">
        <v>61</v>
      </c>
      <c r="C28" s="4" t="s">
        <v>63</v>
      </c>
      <c r="D28" s="9" t="n">
        <v>70000</v>
      </c>
      <c r="E28" s="9" t="n">
        <v>0</v>
      </c>
    </row>
    <row r="29" customFormat="false" ht="15" hidden="false" customHeight="false" outlineLevel="0" collapsed="false">
      <c r="A29" s="8" t="n">
        <v>45813</v>
      </c>
      <c r="B29" s="4" t="s">
        <v>61</v>
      </c>
      <c r="C29" s="4" t="s">
        <v>114</v>
      </c>
      <c r="D29" s="9" t="n">
        <v>0</v>
      </c>
      <c r="E29" s="9" t="n">
        <v>70000</v>
      </c>
    </row>
    <row r="30" customFormat="false" ht="15" hidden="false" customHeight="false" outlineLevel="0" collapsed="false">
      <c r="A30" s="8" t="n">
        <v>45818</v>
      </c>
      <c r="B30" s="4" t="s">
        <v>64</v>
      </c>
      <c r="C30" s="4" t="s">
        <v>51</v>
      </c>
      <c r="D30" s="9" t="n">
        <v>30000</v>
      </c>
      <c r="E30" s="9" t="n">
        <v>0</v>
      </c>
    </row>
    <row r="31" customFormat="false" ht="15" hidden="false" customHeight="false" outlineLevel="0" collapsed="false">
      <c r="A31" s="8" t="n">
        <v>45818</v>
      </c>
      <c r="B31" s="4" t="s">
        <v>64</v>
      </c>
      <c r="C31" s="4" t="s">
        <v>113</v>
      </c>
      <c r="D31" s="9" t="n">
        <v>0</v>
      </c>
      <c r="E31" s="9" t="n">
        <v>30000</v>
      </c>
    </row>
    <row r="32" customFormat="false" ht="15" hidden="false" customHeight="false" outlineLevel="0" collapsed="false">
      <c r="A32" s="8" t="n">
        <v>45823</v>
      </c>
      <c r="B32" s="4" t="s">
        <v>65</v>
      </c>
      <c r="C32" s="4" t="s">
        <v>36</v>
      </c>
      <c r="D32" s="9" t="n">
        <v>24000</v>
      </c>
      <c r="E32" s="9" t="n">
        <v>0</v>
      </c>
    </row>
    <row r="33" customFormat="false" ht="15" hidden="false" customHeight="false" outlineLevel="0" collapsed="false">
      <c r="A33" s="8" t="n">
        <v>45823</v>
      </c>
      <c r="B33" s="4" t="s">
        <v>65</v>
      </c>
      <c r="C33" s="4" t="s">
        <v>113</v>
      </c>
      <c r="D33" s="9" t="n">
        <v>0</v>
      </c>
      <c r="E33" s="9" t="n">
        <v>24000</v>
      </c>
    </row>
    <row r="34" customFormat="false" ht="15" hidden="false" customHeight="false" outlineLevel="0" collapsed="false">
      <c r="A34" s="8" t="n">
        <v>45828</v>
      </c>
      <c r="B34" s="4" t="s">
        <v>66</v>
      </c>
      <c r="C34" s="4" t="s">
        <v>42</v>
      </c>
      <c r="D34" s="9" t="n">
        <v>4000</v>
      </c>
      <c r="E34" s="9" t="n">
        <v>0</v>
      </c>
    </row>
    <row r="35" customFormat="false" ht="15" hidden="false" customHeight="false" outlineLevel="0" collapsed="false">
      <c r="A35" s="8" t="n">
        <v>45828</v>
      </c>
      <c r="B35" s="4" t="s">
        <v>66</v>
      </c>
      <c r="C35" s="4" t="s">
        <v>116</v>
      </c>
      <c r="D35" s="9" t="n">
        <v>0</v>
      </c>
      <c r="E35" s="9" t="n">
        <v>4000</v>
      </c>
    </row>
    <row r="36" customFormat="false" ht="15" hidden="false" customHeight="false" outlineLevel="0" collapsed="false">
      <c r="A36" s="8" t="n">
        <v>45836</v>
      </c>
      <c r="B36" s="4" t="s">
        <v>69</v>
      </c>
      <c r="C36" s="4" t="s">
        <v>68</v>
      </c>
      <c r="D36" s="9" t="n">
        <v>2000</v>
      </c>
      <c r="E36" s="9" t="n">
        <v>0</v>
      </c>
    </row>
    <row r="37" customFormat="false" ht="15" hidden="false" customHeight="false" outlineLevel="0" collapsed="false">
      <c r="A37" s="8" t="n">
        <v>45836</v>
      </c>
      <c r="B37" s="4" t="s">
        <v>69</v>
      </c>
      <c r="C37" s="4" t="s">
        <v>113</v>
      </c>
      <c r="D37" s="9" t="n">
        <v>0</v>
      </c>
      <c r="E37" s="9" t="n">
        <v>2000</v>
      </c>
    </row>
    <row r="38" customFormat="false" ht="15" hidden="false" customHeight="false" outlineLevel="0" collapsed="false">
      <c r="A38" s="8" t="n">
        <v>45843</v>
      </c>
      <c r="B38" s="4" t="s">
        <v>71</v>
      </c>
      <c r="C38" s="4" t="s">
        <v>26</v>
      </c>
      <c r="D38" s="9" t="n">
        <v>40000</v>
      </c>
      <c r="E38" s="9" t="n">
        <v>0</v>
      </c>
    </row>
    <row r="39" customFormat="false" ht="15" hidden="false" customHeight="false" outlineLevel="0" collapsed="false">
      <c r="A39" s="8" t="n">
        <v>45843</v>
      </c>
      <c r="B39" s="4" t="s">
        <v>71</v>
      </c>
      <c r="C39" s="4" t="s">
        <v>117</v>
      </c>
      <c r="D39" s="9" t="n">
        <v>0</v>
      </c>
      <c r="E39" s="9" t="n">
        <v>40000</v>
      </c>
    </row>
    <row r="40" customFormat="false" ht="15" hidden="false" customHeight="false" outlineLevel="0" collapsed="false">
      <c r="A40" s="8" t="n">
        <v>45850</v>
      </c>
      <c r="B40" s="4" t="s">
        <v>73</v>
      </c>
      <c r="C40" s="4" t="s">
        <v>26</v>
      </c>
      <c r="D40" s="9" t="n">
        <v>90000</v>
      </c>
      <c r="E40" s="9" t="n">
        <v>0</v>
      </c>
    </row>
    <row r="41" customFormat="false" ht="15" hidden="false" customHeight="false" outlineLevel="0" collapsed="false">
      <c r="A41" s="8" t="n">
        <v>45850</v>
      </c>
      <c r="B41" s="4" t="s">
        <v>73</v>
      </c>
      <c r="C41" s="4" t="s">
        <v>114</v>
      </c>
      <c r="D41" s="9" t="n">
        <v>0</v>
      </c>
      <c r="E41" s="9" t="n">
        <v>90000</v>
      </c>
    </row>
    <row r="42" customFormat="false" ht="15" hidden="false" customHeight="false" outlineLevel="0" collapsed="false">
      <c r="A42" s="8" t="n">
        <v>45858</v>
      </c>
      <c r="B42" s="4" t="s">
        <v>74</v>
      </c>
      <c r="C42" s="4" t="s">
        <v>76</v>
      </c>
      <c r="D42" s="9" t="n">
        <v>7000</v>
      </c>
      <c r="E42" s="9" t="n">
        <v>0</v>
      </c>
    </row>
    <row r="43" customFormat="false" ht="15" hidden="false" customHeight="false" outlineLevel="0" collapsed="false">
      <c r="A43" s="8" t="n">
        <v>45858</v>
      </c>
      <c r="B43" s="4" t="s">
        <v>74</v>
      </c>
      <c r="C43" s="4" t="s">
        <v>113</v>
      </c>
      <c r="D43" s="9" t="n">
        <v>0</v>
      </c>
      <c r="E43" s="9" t="n">
        <v>7000</v>
      </c>
    </row>
    <row r="44" customFormat="false" ht="15" hidden="false" customHeight="false" outlineLevel="0" collapsed="false">
      <c r="A44" s="8" t="n">
        <v>45863</v>
      </c>
      <c r="B44" s="4" t="s">
        <v>77</v>
      </c>
      <c r="C44" s="4" t="s">
        <v>79</v>
      </c>
      <c r="D44" s="9" t="n">
        <v>1500</v>
      </c>
      <c r="E44" s="9" t="n">
        <v>0</v>
      </c>
    </row>
    <row r="45" customFormat="false" ht="15" hidden="false" customHeight="false" outlineLevel="0" collapsed="false">
      <c r="A45" s="8" t="n">
        <v>45863</v>
      </c>
      <c r="B45" s="4" t="s">
        <v>77</v>
      </c>
      <c r="C45" s="4" t="s">
        <v>113</v>
      </c>
      <c r="D45" s="9" t="n">
        <v>0</v>
      </c>
      <c r="E45" s="9" t="n">
        <v>1500</v>
      </c>
    </row>
    <row r="46" customFormat="false" ht="15" hidden="false" customHeight="false" outlineLevel="0" collapsed="false">
      <c r="A46" s="8" t="n">
        <v>45874</v>
      </c>
      <c r="B46" s="4" t="s">
        <v>80</v>
      </c>
      <c r="C46" s="4" t="s">
        <v>51</v>
      </c>
      <c r="D46" s="9" t="n">
        <v>30000</v>
      </c>
      <c r="E46" s="9" t="n">
        <v>0</v>
      </c>
    </row>
    <row r="47" customFormat="false" ht="15" hidden="false" customHeight="false" outlineLevel="0" collapsed="false">
      <c r="A47" s="8" t="n">
        <v>45874</v>
      </c>
      <c r="B47" s="4" t="s">
        <v>80</v>
      </c>
      <c r="C47" s="4" t="s">
        <v>113</v>
      </c>
      <c r="D47" s="9" t="n">
        <v>0</v>
      </c>
      <c r="E47" s="9" t="n">
        <v>30000</v>
      </c>
    </row>
    <row r="48" customFormat="false" ht="15" hidden="false" customHeight="false" outlineLevel="0" collapsed="false">
      <c r="A48" s="8" t="n">
        <v>45884</v>
      </c>
      <c r="B48" s="4" t="s">
        <v>81</v>
      </c>
      <c r="C48" s="4" t="s">
        <v>36</v>
      </c>
      <c r="D48" s="9" t="n">
        <v>24000</v>
      </c>
      <c r="E48" s="9" t="n">
        <v>0</v>
      </c>
    </row>
    <row r="49" customFormat="false" ht="15" hidden="false" customHeight="false" outlineLevel="0" collapsed="false">
      <c r="A49" s="8" t="n">
        <v>45884</v>
      </c>
      <c r="B49" s="4" t="s">
        <v>81</v>
      </c>
      <c r="C49" s="4" t="s">
        <v>113</v>
      </c>
      <c r="D49" s="9" t="n">
        <v>0</v>
      </c>
      <c r="E49" s="9" t="n">
        <v>24000</v>
      </c>
    </row>
    <row r="50" customFormat="false" ht="15" hidden="false" customHeight="false" outlineLevel="0" collapsed="false">
      <c r="A50" s="8" t="n">
        <v>45889</v>
      </c>
      <c r="B50" s="4" t="s">
        <v>82</v>
      </c>
      <c r="C50" s="4" t="s">
        <v>26</v>
      </c>
      <c r="D50" s="9" t="n">
        <v>30000</v>
      </c>
      <c r="E50" s="9" t="n">
        <v>0</v>
      </c>
    </row>
    <row r="51" customFormat="false" ht="15" hidden="false" customHeight="false" outlineLevel="0" collapsed="false">
      <c r="A51" s="8" t="n">
        <v>45889</v>
      </c>
      <c r="B51" s="4" t="s">
        <v>82</v>
      </c>
      <c r="C51" s="4" t="s">
        <v>115</v>
      </c>
      <c r="D51" s="9" t="n">
        <v>0</v>
      </c>
      <c r="E51" s="9" t="n">
        <v>30000</v>
      </c>
    </row>
    <row r="52" customFormat="false" ht="15" hidden="false" customHeight="false" outlineLevel="0" collapsed="false">
      <c r="A52" s="8" t="n">
        <v>45901</v>
      </c>
      <c r="B52" s="4" t="s">
        <v>84</v>
      </c>
      <c r="C52" s="4" t="s">
        <v>86</v>
      </c>
      <c r="D52" s="9" t="n">
        <v>60000</v>
      </c>
      <c r="E52" s="9" t="n">
        <v>0</v>
      </c>
    </row>
    <row r="53" customFormat="false" ht="15" hidden="false" customHeight="false" outlineLevel="0" collapsed="false">
      <c r="A53" s="8" t="n">
        <v>45901</v>
      </c>
      <c r="B53" s="4" t="s">
        <v>84</v>
      </c>
      <c r="C53" s="4" t="s">
        <v>114</v>
      </c>
      <c r="D53" s="9" t="n">
        <v>0</v>
      </c>
      <c r="E53" s="9" t="n">
        <v>60000</v>
      </c>
    </row>
    <row r="54" customFormat="false" ht="15" hidden="false" customHeight="false" outlineLevel="0" collapsed="false">
      <c r="A54" s="8" t="n">
        <v>45910</v>
      </c>
      <c r="B54" s="4" t="s">
        <v>87</v>
      </c>
      <c r="C54" s="4" t="s">
        <v>54</v>
      </c>
      <c r="D54" s="9" t="n">
        <v>6500</v>
      </c>
      <c r="E54" s="9" t="n">
        <v>0</v>
      </c>
    </row>
    <row r="55" customFormat="false" ht="15" hidden="false" customHeight="false" outlineLevel="0" collapsed="false">
      <c r="A55" s="8" t="n">
        <v>45910</v>
      </c>
      <c r="B55" s="4" t="s">
        <v>87</v>
      </c>
      <c r="C55" s="4" t="s">
        <v>113</v>
      </c>
      <c r="D55" s="9" t="n">
        <v>0</v>
      </c>
      <c r="E55" s="9" t="n">
        <v>6500</v>
      </c>
    </row>
    <row r="56" customFormat="false" ht="15" hidden="false" customHeight="false" outlineLevel="0" collapsed="false">
      <c r="A56" s="8" t="n">
        <v>45918</v>
      </c>
      <c r="B56" s="4" t="s">
        <v>88</v>
      </c>
      <c r="C56" s="4" t="s">
        <v>57</v>
      </c>
      <c r="D56" s="9" t="n">
        <v>5000</v>
      </c>
      <c r="E56" s="9" t="n">
        <v>0</v>
      </c>
    </row>
    <row r="57" customFormat="false" ht="15" hidden="false" customHeight="false" outlineLevel="0" collapsed="false">
      <c r="A57" s="8" t="n">
        <v>45918</v>
      </c>
      <c r="B57" s="4" t="s">
        <v>88</v>
      </c>
      <c r="C57" s="4" t="s">
        <v>113</v>
      </c>
      <c r="D57" s="9" t="n">
        <v>0</v>
      </c>
      <c r="E57" s="9" t="n">
        <v>5000</v>
      </c>
    </row>
    <row r="58" customFormat="false" ht="15" hidden="false" customHeight="false" outlineLevel="0" collapsed="false">
      <c r="A58" s="8" t="n">
        <v>45925</v>
      </c>
      <c r="B58" s="4" t="s">
        <v>89</v>
      </c>
      <c r="C58" s="4" t="s">
        <v>68</v>
      </c>
      <c r="D58" s="9" t="n">
        <v>2000</v>
      </c>
      <c r="E58" s="9" t="n">
        <v>0</v>
      </c>
    </row>
    <row r="59" customFormat="false" ht="15" hidden="false" customHeight="false" outlineLevel="0" collapsed="false">
      <c r="A59" s="8" t="n">
        <v>45925</v>
      </c>
      <c r="B59" s="4" t="s">
        <v>89</v>
      </c>
      <c r="C59" s="4" t="s">
        <v>113</v>
      </c>
      <c r="D59" s="9" t="n">
        <v>0</v>
      </c>
      <c r="E59" s="9" t="n">
        <v>2000</v>
      </c>
    </row>
    <row r="60" customFormat="false" ht="15" hidden="false" customHeight="false" outlineLevel="0" collapsed="false">
      <c r="A60" s="8" t="n">
        <v>45935</v>
      </c>
      <c r="B60" s="4" t="s">
        <v>91</v>
      </c>
      <c r="C60" s="4" t="s">
        <v>26</v>
      </c>
      <c r="D60" s="9" t="n">
        <v>110000</v>
      </c>
      <c r="E60" s="9" t="n">
        <v>0</v>
      </c>
    </row>
    <row r="61" customFormat="false" ht="15" hidden="false" customHeight="false" outlineLevel="0" collapsed="false">
      <c r="A61" s="8" t="n">
        <v>45935</v>
      </c>
      <c r="B61" s="4" t="s">
        <v>91</v>
      </c>
      <c r="C61" s="4" t="s">
        <v>114</v>
      </c>
      <c r="D61" s="9" t="n">
        <v>0</v>
      </c>
      <c r="E61" s="9" t="n">
        <v>110000</v>
      </c>
    </row>
    <row r="62" customFormat="false" ht="15" hidden="false" customHeight="false" outlineLevel="0" collapsed="false">
      <c r="A62" s="8" t="n">
        <v>45940</v>
      </c>
      <c r="B62" s="4" t="s">
        <v>92</v>
      </c>
      <c r="C62" s="4" t="s">
        <v>51</v>
      </c>
      <c r="D62" s="9" t="n">
        <v>30000</v>
      </c>
      <c r="E62" s="9" t="n">
        <v>0</v>
      </c>
    </row>
    <row r="63" customFormat="false" ht="15" hidden="false" customHeight="false" outlineLevel="0" collapsed="false">
      <c r="A63" s="8" t="n">
        <v>45940</v>
      </c>
      <c r="B63" s="4" t="s">
        <v>92</v>
      </c>
      <c r="C63" s="4" t="s">
        <v>113</v>
      </c>
      <c r="D63" s="9" t="n">
        <v>0</v>
      </c>
      <c r="E63" s="9" t="n">
        <v>30000</v>
      </c>
    </row>
    <row r="64" customFormat="false" ht="15" hidden="false" customHeight="false" outlineLevel="0" collapsed="false">
      <c r="A64" s="8" t="n">
        <v>45945</v>
      </c>
      <c r="B64" s="4" t="s">
        <v>93</v>
      </c>
      <c r="C64" s="4" t="s">
        <v>36</v>
      </c>
      <c r="D64" s="9" t="n">
        <v>24000</v>
      </c>
      <c r="E64" s="9" t="n">
        <v>0</v>
      </c>
    </row>
    <row r="65" customFormat="false" ht="15" hidden="false" customHeight="false" outlineLevel="0" collapsed="false">
      <c r="A65" s="8" t="n">
        <v>45945</v>
      </c>
      <c r="B65" s="4" t="s">
        <v>93</v>
      </c>
      <c r="C65" s="4" t="s">
        <v>113</v>
      </c>
      <c r="D65" s="9" t="n">
        <v>0</v>
      </c>
      <c r="E65" s="9" t="n">
        <v>24000</v>
      </c>
    </row>
    <row r="66" customFormat="false" ht="15" hidden="false" customHeight="false" outlineLevel="0" collapsed="false">
      <c r="A66" s="8" t="n">
        <v>46112</v>
      </c>
      <c r="B66" s="4" t="s">
        <v>94</v>
      </c>
      <c r="C66" s="4" t="s">
        <v>96</v>
      </c>
      <c r="D66" s="9" t="n">
        <v>6000</v>
      </c>
      <c r="E66" s="9" t="n">
        <v>0</v>
      </c>
    </row>
    <row r="67" customFormat="false" ht="15" hidden="false" customHeight="false" outlineLevel="0" collapsed="false">
      <c r="A67" s="8" t="n">
        <v>46112</v>
      </c>
      <c r="B67" s="4" t="s">
        <v>94</v>
      </c>
      <c r="C67" s="4" t="s">
        <v>118</v>
      </c>
      <c r="D67" s="9" t="n">
        <v>0</v>
      </c>
      <c r="E67" s="9" t="n">
        <v>6000</v>
      </c>
    </row>
    <row r="68" customFormat="false" ht="15" hidden="false" customHeight="false" outlineLevel="0" collapsed="false">
      <c r="A68" s="8" t="n">
        <v>46112</v>
      </c>
      <c r="B68" s="4" t="s">
        <v>99</v>
      </c>
      <c r="C68" s="4" t="s">
        <v>101</v>
      </c>
      <c r="D68" s="9" t="n">
        <v>16000</v>
      </c>
      <c r="E68" s="9" t="n">
        <v>0</v>
      </c>
    </row>
    <row r="69" customFormat="false" ht="28.35" hidden="false" customHeight="false" outlineLevel="0" collapsed="false">
      <c r="A69" s="8" t="n">
        <v>46112</v>
      </c>
      <c r="B69" s="4" t="s">
        <v>99</v>
      </c>
      <c r="C69" s="4" t="s">
        <v>119</v>
      </c>
      <c r="D69" s="9" t="n">
        <v>0</v>
      </c>
      <c r="E69" s="9" t="n">
        <v>16000</v>
      </c>
    </row>
    <row r="70" customFormat="false" ht="15" hidden="false" customHeight="false" outlineLevel="0" collapsed="false">
      <c r="A70" s="8" t="n">
        <v>46112</v>
      </c>
      <c r="B70" s="4" t="s">
        <v>103</v>
      </c>
      <c r="C70" s="4" t="s">
        <v>51</v>
      </c>
      <c r="D70" s="9" t="n">
        <v>5000</v>
      </c>
      <c r="E70" s="9" t="n">
        <v>0</v>
      </c>
    </row>
    <row r="71" customFormat="false" ht="15" hidden="false" customHeight="false" outlineLevel="0" collapsed="false">
      <c r="A71" s="8" t="n">
        <v>46112</v>
      </c>
      <c r="B71" s="4" t="s">
        <v>103</v>
      </c>
      <c r="C71" s="4" t="s">
        <v>120</v>
      </c>
      <c r="D71" s="9" t="n">
        <v>0</v>
      </c>
      <c r="E71" s="9" t="n">
        <v>5000</v>
      </c>
    </row>
    <row r="72" customFormat="false" ht="15" hidden="false" customHeight="false" outlineLevel="0" collapsed="false">
      <c r="A72" s="8" t="n">
        <v>46112</v>
      </c>
      <c r="B72" s="4" t="s">
        <v>106</v>
      </c>
      <c r="C72" s="4" t="s">
        <v>108</v>
      </c>
      <c r="D72" s="9" t="n">
        <v>12000</v>
      </c>
      <c r="E72" s="9" t="n">
        <v>0</v>
      </c>
    </row>
    <row r="73" customFormat="false" ht="15" hidden="false" customHeight="false" outlineLevel="0" collapsed="false">
      <c r="A73" s="8" t="n">
        <v>46112</v>
      </c>
      <c r="B73" s="4" t="s">
        <v>106</v>
      </c>
      <c r="C73" s="4" t="s">
        <v>121</v>
      </c>
      <c r="D73" s="9" t="n">
        <v>0</v>
      </c>
      <c r="E73" s="9" t="n">
        <v>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28.35" hidden="false" customHeight="false" outlineLevel="0" collapsed="false">
      <c r="A1" s="7" t="s">
        <v>122</v>
      </c>
      <c r="B1" s="7" t="s">
        <v>123</v>
      </c>
      <c r="C1" s="7" t="s">
        <v>124</v>
      </c>
      <c r="D1" s="7" t="s">
        <v>125</v>
      </c>
      <c r="E1" s="7" t="s">
        <v>126</v>
      </c>
    </row>
    <row r="2" customFormat="false" ht="15" hidden="false" customHeight="false" outlineLevel="0" collapsed="false">
      <c r="A2" s="4" t="s">
        <v>26</v>
      </c>
      <c r="B2" s="9" t="n">
        <f aca="false">SUMIF('Journal Entries'!$C:$C,A2,'Journal Entries'!$D:$D)</f>
        <v>1040000</v>
      </c>
      <c r="C2" s="9" t="n">
        <f aca="false">SUMIF('Journal Entries'!$C:$C,"    To "&amp;A2,'Journal Entries'!$E:$E)</f>
        <v>411000</v>
      </c>
      <c r="D2" s="9" t="n">
        <f aca="false">B2-C2</f>
        <v>629000</v>
      </c>
      <c r="E2" s="4" t="str">
        <f aca="false">IF(D2&gt;0,"Debit",IF(D2&lt;0,"Credit","Nil"))</f>
        <v>Debit</v>
      </c>
    </row>
    <row r="3" customFormat="false" ht="15" hidden="false" customHeight="false" outlineLevel="0" collapsed="false">
      <c r="A3" s="4" t="s">
        <v>48</v>
      </c>
      <c r="B3" s="9" t="n">
        <f aca="false">SUMIF('Journal Entries'!$C:$C,A3,'Journal Entries'!$D:$D)</f>
        <v>80000</v>
      </c>
      <c r="C3" s="9" t="n">
        <f aca="false">SUMIF('Journal Entries'!$C:$C,"    To "&amp;A3,'Journal Entries'!$E:$E)</f>
        <v>80000</v>
      </c>
      <c r="D3" s="9" t="n">
        <f aca="false">B3-C3</f>
        <v>0</v>
      </c>
      <c r="E3" s="4" t="str">
        <f aca="false">IF(D3&gt;0,"Debit",IF(D3&lt;0,"Credit","Nil"))</f>
        <v>Nil</v>
      </c>
    </row>
    <row r="4" customFormat="false" ht="15" hidden="false" customHeight="false" outlineLevel="0" collapsed="false">
      <c r="A4" s="4" t="s">
        <v>63</v>
      </c>
      <c r="B4" s="9" t="n">
        <f aca="false">SUMIF('Journal Entries'!$C:$C,A4,'Journal Entries'!$D:$D)</f>
        <v>70000</v>
      </c>
      <c r="C4" s="9" t="n">
        <f aca="false">SUMIF('Journal Entries'!$C:$C,"    To "&amp;A4,'Journal Entries'!$E:$E)</f>
        <v>40000</v>
      </c>
      <c r="D4" s="9" t="n">
        <f aca="false">B4-C4</f>
        <v>30000</v>
      </c>
      <c r="E4" s="4" t="str">
        <f aca="false">IF(D4&gt;0,"Debit",IF(D4&lt;0,"Credit","Nil"))</f>
        <v>Debit</v>
      </c>
    </row>
    <row r="5" customFormat="false" ht="15" hidden="false" customHeight="false" outlineLevel="0" collapsed="false">
      <c r="A5" s="4" t="s">
        <v>86</v>
      </c>
      <c r="B5" s="9" t="n">
        <f aca="false">SUMIF('Journal Entries'!$C:$C,A5,'Journal Entries'!$D:$D)</f>
        <v>60000</v>
      </c>
      <c r="C5" s="9" t="n">
        <f aca="false">SUMIF('Journal Entries'!$C:$C,"    To "&amp;A5,'Journal Entries'!$E:$E)</f>
        <v>0</v>
      </c>
      <c r="D5" s="9" t="n">
        <f aca="false">B5-C5</f>
        <v>60000</v>
      </c>
      <c r="E5" s="4" t="str">
        <f aca="false">IF(D5&gt;0,"Debit",IF(D5&lt;0,"Credit","Nil"))</f>
        <v>Debit</v>
      </c>
    </row>
    <row r="6" customFormat="false" ht="15" hidden="false" customHeight="false" outlineLevel="0" collapsed="false">
      <c r="A6" s="4" t="s">
        <v>30</v>
      </c>
      <c r="B6" s="9" t="n">
        <f aca="false">SUMIF('Journal Entries'!$C:$C,A6,'Journal Entries'!$D:$D)</f>
        <v>60000</v>
      </c>
      <c r="C6" s="9" t="n">
        <f aca="false">SUMIF('Journal Entries'!$C:$C,"    To "&amp;A6,'Journal Entries'!$E:$E)</f>
        <v>0</v>
      </c>
      <c r="D6" s="9" t="n">
        <f aca="false">B6-C6</f>
        <v>60000</v>
      </c>
      <c r="E6" s="4" t="str">
        <f aca="false">IF(D6&gt;0,"Debit",IF(D6&lt;0,"Credit","Nil"))</f>
        <v>Debit</v>
      </c>
    </row>
    <row r="7" customFormat="false" ht="15" hidden="false" customHeight="false" outlineLevel="0" collapsed="false">
      <c r="A7" s="4" t="s">
        <v>33</v>
      </c>
      <c r="B7" s="9" t="n">
        <f aca="false">SUMIF('Journal Entries'!$C:$C,A7,'Journal Entries'!$D:$D)</f>
        <v>80000</v>
      </c>
      <c r="C7" s="9" t="n">
        <f aca="false">SUMIF('Journal Entries'!$C:$C,"    To "&amp;A7,'Journal Entries'!$E:$E)</f>
        <v>0</v>
      </c>
      <c r="D7" s="9" t="n">
        <f aca="false">B7-C7</f>
        <v>80000</v>
      </c>
      <c r="E7" s="4" t="str">
        <f aca="false">IF(D7&gt;0,"Debit",IF(D7&lt;0,"Credit","Nil"))</f>
        <v>Debit</v>
      </c>
    </row>
    <row r="8" customFormat="false" ht="15" hidden="false" customHeight="false" outlineLevel="0" collapsed="false">
      <c r="A8" s="4" t="s">
        <v>39</v>
      </c>
      <c r="B8" s="9" t="n">
        <f aca="false">SUMIF('Journal Entries'!$C:$C,A8,'Journal Entries'!$D:$D)</f>
        <v>12000</v>
      </c>
      <c r="C8" s="9" t="n">
        <f aca="false">SUMIF('Journal Entries'!$C:$C,"    To "&amp;A8,'Journal Entries'!$E:$E)</f>
        <v>12000</v>
      </c>
      <c r="D8" s="9" t="n">
        <f aca="false">B8-C8</f>
        <v>0</v>
      </c>
      <c r="E8" s="4" t="str">
        <f aca="false">IF(D8&gt;0,"Debit",IF(D8&lt;0,"Credit","Nil"))</f>
        <v>Nil</v>
      </c>
    </row>
    <row r="9" customFormat="false" ht="15" hidden="false" customHeight="false" outlineLevel="0" collapsed="false">
      <c r="A9" s="4" t="s">
        <v>42</v>
      </c>
      <c r="B9" s="9" t="n">
        <f aca="false">SUMIF('Journal Entries'!$C:$C,A9,'Journal Entries'!$D:$D)</f>
        <v>9000</v>
      </c>
      <c r="C9" s="9" t="n">
        <f aca="false">SUMIF('Journal Entries'!$C:$C,"    To "&amp;A9,'Journal Entries'!$E:$E)</f>
        <v>0</v>
      </c>
      <c r="D9" s="9" t="n">
        <f aca="false">B9-C9</f>
        <v>9000</v>
      </c>
      <c r="E9" s="4" t="str">
        <f aca="false">IF(D9&gt;0,"Debit",IF(D9&lt;0,"Credit","Nil"))</f>
        <v>Debit</v>
      </c>
    </row>
    <row r="10" customFormat="false" ht="15" hidden="false" customHeight="false" outlineLevel="0" collapsed="false">
      <c r="A10" s="4" t="s">
        <v>36</v>
      </c>
      <c r="B10" s="9" t="n">
        <f aca="false">SUMIF('Journal Entries'!$C:$C,A10,'Journal Entries'!$D:$D)</f>
        <v>96000</v>
      </c>
      <c r="C10" s="9" t="n">
        <f aca="false">SUMIF('Journal Entries'!$C:$C,"    To "&amp;A10,'Journal Entries'!$E:$E)</f>
        <v>0</v>
      </c>
      <c r="D10" s="9" t="n">
        <f aca="false">B10-C10</f>
        <v>96000</v>
      </c>
      <c r="E10" s="4" t="str">
        <f aca="false">IF(D10&gt;0,"Debit",IF(D10&lt;0,"Credit","Nil"))</f>
        <v>Debit</v>
      </c>
    </row>
    <row r="11" customFormat="false" ht="15" hidden="false" customHeight="false" outlineLevel="0" collapsed="false">
      <c r="A11" s="4" t="s">
        <v>51</v>
      </c>
      <c r="B11" s="9" t="n">
        <f aca="false">SUMIF('Journal Entries'!$C:$C,A11,'Journal Entries'!$D:$D)</f>
        <v>125000</v>
      </c>
      <c r="C11" s="9" t="n">
        <f aca="false">SUMIF('Journal Entries'!$C:$C,"    To "&amp;A11,'Journal Entries'!$E:$E)</f>
        <v>0</v>
      </c>
      <c r="D11" s="9" t="n">
        <f aca="false">B11-C11</f>
        <v>125000</v>
      </c>
      <c r="E11" s="4" t="str">
        <f aca="false">IF(D11&gt;0,"Debit",IF(D11&lt;0,"Credit","Nil"))</f>
        <v>Debit</v>
      </c>
    </row>
    <row r="12" customFormat="false" ht="15" hidden="false" customHeight="false" outlineLevel="0" collapsed="false">
      <c r="A12" s="4" t="s">
        <v>54</v>
      </c>
      <c r="B12" s="9" t="n">
        <f aca="false">SUMIF('Journal Entries'!$C:$C,A12,'Journal Entries'!$D:$D)</f>
        <v>12500</v>
      </c>
      <c r="C12" s="9" t="n">
        <f aca="false">SUMIF('Journal Entries'!$C:$C,"    To "&amp;A12,'Journal Entries'!$E:$E)</f>
        <v>0</v>
      </c>
      <c r="D12" s="9" t="n">
        <f aca="false">B12-C12</f>
        <v>12500</v>
      </c>
      <c r="E12" s="4" t="str">
        <f aca="false">IF(D12&gt;0,"Debit",IF(D12&lt;0,"Credit","Nil"))</f>
        <v>Debit</v>
      </c>
    </row>
    <row r="13" customFormat="false" ht="15" hidden="false" customHeight="false" outlineLevel="0" collapsed="false">
      <c r="A13" s="4" t="s">
        <v>57</v>
      </c>
      <c r="B13" s="9" t="n">
        <f aca="false">SUMIF('Journal Entries'!$C:$C,A13,'Journal Entries'!$D:$D)</f>
        <v>13000</v>
      </c>
      <c r="C13" s="9" t="n">
        <f aca="false">SUMIF('Journal Entries'!$C:$C,"    To "&amp;A13,'Journal Entries'!$E:$E)</f>
        <v>0</v>
      </c>
      <c r="D13" s="9" t="n">
        <f aca="false">B13-C13</f>
        <v>13000</v>
      </c>
      <c r="E13" s="4" t="str">
        <f aca="false">IF(D13&gt;0,"Debit",IF(D13&lt;0,"Credit","Nil"))</f>
        <v>Debit</v>
      </c>
    </row>
    <row r="14" customFormat="false" ht="15" hidden="false" customHeight="false" outlineLevel="0" collapsed="false">
      <c r="A14" s="4" t="s">
        <v>76</v>
      </c>
      <c r="B14" s="9" t="n">
        <f aca="false">SUMIF('Journal Entries'!$C:$C,A14,'Journal Entries'!$D:$D)</f>
        <v>7000</v>
      </c>
      <c r="C14" s="9" t="n">
        <f aca="false">SUMIF('Journal Entries'!$C:$C,"    To "&amp;A14,'Journal Entries'!$E:$E)</f>
        <v>0</v>
      </c>
      <c r="D14" s="9" t="n">
        <f aca="false">B14-C14</f>
        <v>7000</v>
      </c>
      <c r="E14" s="4" t="str">
        <f aca="false">IF(D14&gt;0,"Debit",IF(D14&lt;0,"Credit","Nil"))</f>
        <v>Debit</v>
      </c>
    </row>
    <row r="15" customFormat="false" ht="15" hidden="false" customHeight="false" outlineLevel="0" collapsed="false">
      <c r="A15" s="4" t="s">
        <v>79</v>
      </c>
      <c r="B15" s="9" t="n">
        <f aca="false">SUMIF('Journal Entries'!$C:$C,A15,'Journal Entries'!$D:$D)</f>
        <v>1500</v>
      </c>
      <c r="C15" s="9" t="n">
        <f aca="false">SUMIF('Journal Entries'!$C:$C,"    To "&amp;A15,'Journal Entries'!$E:$E)</f>
        <v>0</v>
      </c>
      <c r="D15" s="9" t="n">
        <f aca="false">B15-C15</f>
        <v>1500</v>
      </c>
      <c r="E15" s="4" t="str">
        <f aca="false">IF(D15&gt;0,"Debit",IF(D15&lt;0,"Credit","Nil"))</f>
        <v>Debit</v>
      </c>
    </row>
    <row r="16" customFormat="false" ht="15" hidden="false" customHeight="false" outlineLevel="0" collapsed="false">
      <c r="A16" s="4" t="s">
        <v>108</v>
      </c>
      <c r="B16" s="9" t="n">
        <f aca="false">SUMIF('Journal Entries'!$C:$C,A16,'Journal Entries'!$D:$D)</f>
        <v>12000</v>
      </c>
      <c r="C16" s="9" t="n">
        <f aca="false">SUMIF('Journal Entries'!$C:$C,"    To "&amp;A16,'Journal Entries'!$E:$E)</f>
        <v>0</v>
      </c>
      <c r="D16" s="9" t="n">
        <f aca="false">B16-C16</f>
        <v>12000</v>
      </c>
      <c r="E16" s="4" t="str">
        <f aca="false">IF(D16&gt;0,"Debit",IF(D16&lt;0,"Credit","Nil"))</f>
        <v>Debit</v>
      </c>
    </row>
    <row r="17" customFormat="false" ht="15" hidden="false" customHeight="false" outlineLevel="0" collapsed="false">
      <c r="A17" s="4" t="s">
        <v>96</v>
      </c>
      <c r="B17" s="9" t="n">
        <f aca="false">SUMIF('Journal Entries'!$C:$C,A17,'Journal Entries'!$D:$D)</f>
        <v>6000</v>
      </c>
      <c r="C17" s="9" t="n">
        <f aca="false">SUMIF('Journal Entries'!$C:$C,"    To "&amp;A17,'Journal Entries'!$E:$E)</f>
        <v>0</v>
      </c>
      <c r="D17" s="9" t="n">
        <f aca="false">B17-C17</f>
        <v>6000</v>
      </c>
      <c r="E17" s="4" t="str">
        <f aca="false">IF(D17&gt;0,"Debit",IF(D17&lt;0,"Credit","Nil"))</f>
        <v>Debit</v>
      </c>
    </row>
    <row r="18" customFormat="false" ht="15" hidden="false" customHeight="false" outlineLevel="0" collapsed="false">
      <c r="A18" s="4" t="s">
        <v>101</v>
      </c>
      <c r="B18" s="9" t="n">
        <f aca="false">SUMIF('Journal Entries'!$C:$C,A18,'Journal Entries'!$D:$D)</f>
        <v>16000</v>
      </c>
      <c r="C18" s="9" t="n">
        <f aca="false">SUMIF('Journal Entries'!$C:$C,"    To "&amp;A18,'Journal Entries'!$E:$E)</f>
        <v>0</v>
      </c>
      <c r="D18" s="9" t="n">
        <f aca="false">B18-C18</f>
        <v>16000</v>
      </c>
      <c r="E18" s="4" t="str">
        <f aca="false">IF(D18&gt;0,"Debit",IF(D18&lt;0,"Credit","Nil"))</f>
        <v>Debit</v>
      </c>
    </row>
    <row r="19" customFormat="false" ht="15" hidden="false" customHeight="false" outlineLevel="0" collapsed="false">
      <c r="A19" s="4" t="s">
        <v>45</v>
      </c>
      <c r="B19" s="9" t="n">
        <f aca="false">SUMIF('Journal Entries'!$C:$C,A19,'Journal Entries'!$D:$D)</f>
        <v>0</v>
      </c>
      <c r="C19" s="9" t="n">
        <f aca="false">SUMIF('Journal Entries'!$C:$C,"    To "&amp;A19,'Journal Entries'!$E:$E)</f>
        <v>630000</v>
      </c>
      <c r="D19" s="9" t="n">
        <f aca="false">B19-C19</f>
        <v>-630000</v>
      </c>
      <c r="E19" s="4" t="str">
        <f aca="false">IF(D19&gt;0,"Debit",IF(D19&lt;0,"Credit","Nil"))</f>
        <v>Credit</v>
      </c>
    </row>
    <row r="20" customFormat="false" ht="15" hidden="false" customHeight="false" outlineLevel="0" collapsed="false">
      <c r="A20" s="4" t="s">
        <v>68</v>
      </c>
      <c r="B20" s="9" t="n">
        <f aca="false">SUMIF('Journal Entries'!$C:$C,A20,'Journal Entries'!$D:$D)</f>
        <v>4000</v>
      </c>
      <c r="C20" s="9" t="n">
        <f aca="false">SUMIF('Journal Entries'!$C:$C,"    To "&amp;A20,'Journal Entries'!$E:$E)</f>
        <v>4000</v>
      </c>
      <c r="D20" s="9" t="n">
        <f aca="false">B20-C20</f>
        <v>0</v>
      </c>
      <c r="E20" s="4" t="str">
        <f aca="false">IF(D20&gt;0,"Debit",IF(D20&lt;0,"Credit","Nil"))</f>
        <v>Nil</v>
      </c>
    </row>
    <row r="21" customFormat="false" ht="15" hidden="false" customHeight="false" outlineLevel="0" collapsed="false">
      <c r="A21" s="4" t="s">
        <v>105</v>
      </c>
      <c r="B21" s="9" t="n">
        <f aca="false">SUMIF('Journal Entries'!$C:$C,A21,'Journal Entries'!$D:$D)</f>
        <v>0</v>
      </c>
      <c r="C21" s="9" t="n">
        <f aca="false">SUMIF('Journal Entries'!$C:$C,"    To "&amp;A21,'Journal Entries'!$E:$E)</f>
        <v>5000</v>
      </c>
      <c r="D21" s="9" t="n">
        <f aca="false">B21-C21</f>
        <v>-5000</v>
      </c>
      <c r="E21" s="4" t="str">
        <f aca="false">IF(D21&gt;0,"Debit",IF(D21&lt;0,"Credit","Nil"))</f>
        <v>Credit</v>
      </c>
    </row>
    <row r="22" customFormat="false" ht="15" hidden="false" customHeight="false" outlineLevel="0" collapsed="false">
      <c r="A22" s="4" t="s">
        <v>97</v>
      </c>
      <c r="B22" s="9" t="n">
        <f aca="false">SUMIF('Journal Entries'!$C:$C,A22,'Journal Entries'!$D:$D)</f>
        <v>0</v>
      </c>
      <c r="C22" s="9" t="n">
        <f aca="false">SUMIF('Journal Entries'!$C:$C,"    To "&amp;A22,'Journal Entries'!$E:$E)</f>
        <v>6000</v>
      </c>
      <c r="D22" s="9" t="n">
        <f aca="false">B22-C22</f>
        <v>-6000</v>
      </c>
      <c r="E22" s="4" t="str">
        <f aca="false">IF(D22&gt;0,"Debit",IF(D22&lt;0,"Credit","Nil"))</f>
        <v>Credit</v>
      </c>
    </row>
    <row r="23" customFormat="false" ht="28.35" hidden="false" customHeight="false" outlineLevel="0" collapsed="false">
      <c r="A23" s="4" t="s">
        <v>102</v>
      </c>
      <c r="B23" s="9" t="n">
        <f aca="false">SUMIF('Journal Entries'!$C:$C,A23,'Journal Entries'!$D:$D)</f>
        <v>0</v>
      </c>
      <c r="C23" s="9" t="n">
        <f aca="false">SUMIF('Journal Entries'!$C:$C,"    To "&amp;A23,'Journal Entries'!$E:$E)</f>
        <v>16000</v>
      </c>
      <c r="D23" s="9" t="n">
        <f aca="false">B23-C23</f>
        <v>-16000</v>
      </c>
      <c r="E23" s="4" t="str">
        <f aca="false">IF(D23&gt;0,"Debit",IF(D23&lt;0,"Credit","Nil"))</f>
        <v>Credit</v>
      </c>
    </row>
    <row r="24" customFormat="false" ht="15" hidden="false" customHeight="false" outlineLevel="0" collapsed="false">
      <c r="A24" s="4" t="s">
        <v>27</v>
      </c>
      <c r="B24" s="9" t="n">
        <f aca="false">SUMIF('Journal Entries'!$C:$C,A24,'Journal Entries'!$D:$D)</f>
        <v>0</v>
      </c>
      <c r="C24" s="9" t="n">
        <f aca="false">SUMIF('Journal Entries'!$C:$C,"    To "&amp;A24,'Journal Entries'!$E:$E)</f>
        <v>500000</v>
      </c>
      <c r="D24" s="9" t="n">
        <f aca="false">B24-C24</f>
        <v>-500000</v>
      </c>
      <c r="E24" s="4" t="str">
        <f aca="false">IF(D24&gt;0,"Debit",IF(D24&lt;0,"Credit","Nil"))</f>
        <v>Credit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7" t="s">
        <v>122</v>
      </c>
      <c r="B1" s="7" t="s">
        <v>110</v>
      </c>
      <c r="C1" s="7" t="s">
        <v>111</v>
      </c>
    </row>
    <row r="2" customFormat="false" ht="15" hidden="false" customHeight="false" outlineLevel="0" collapsed="false">
      <c r="A2" s="4" t="s">
        <v>26</v>
      </c>
      <c r="B2" s="9" t="n">
        <f aca="false">IF(Ledger!D2&gt;0,Ledger!D2,0)</f>
        <v>629000</v>
      </c>
      <c r="C2" s="9" t="n">
        <f aca="false">IF(Ledger!D2&lt;0,-Ledger!D2,0)</f>
        <v>0</v>
      </c>
    </row>
    <row r="3" customFormat="false" ht="15" hidden="false" customHeight="false" outlineLevel="0" collapsed="false">
      <c r="A3" s="4" t="s">
        <v>48</v>
      </c>
      <c r="B3" s="9" t="n">
        <f aca="false">IF(Ledger!D3&gt;0,Ledger!D3,0)</f>
        <v>0</v>
      </c>
      <c r="C3" s="9" t="n">
        <f aca="false">IF(Ledger!D3&lt;0,-Ledger!D3,0)</f>
        <v>0</v>
      </c>
    </row>
    <row r="4" customFormat="false" ht="15" hidden="false" customHeight="false" outlineLevel="0" collapsed="false">
      <c r="A4" s="4" t="s">
        <v>63</v>
      </c>
      <c r="B4" s="9" t="n">
        <f aca="false">IF(Ledger!D4&gt;0,Ledger!D4,0)</f>
        <v>30000</v>
      </c>
      <c r="C4" s="9" t="n">
        <f aca="false">IF(Ledger!D4&lt;0,-Ledger!D4,0)</f>
        <v>0</v>
      </c>
    </row>
    <row r="5" customFormat="false" ht="15" hidden="false" customHeight="false" outlineLevel="0" collapsed="false">
      <c r="A5" s="4" t="s">
        <v>86</v>
      </c>
      <c r="B5" s="9" t="n">
        <f aca="false">IF(Ledger!D5&gt;0,Ledger!D5,0)</f>
        <v>60000</v>
      </c>
      <c r="C5" s="9" t="n">
        <f aca="false">IF(Ledger!D5&lt;0,-Ledger!D5,0)</f>
        <v>0</v>
      </c>
    </row>
    <row r="6" customFormat="false" ht="15" hidden="false" customHeight="false" outlineLevel="0" collapsed="false">
      <c r="A6" s="4" t="s">
        <v>30</v>
      </c>
      <c r="B6" s="9" t="n">
        <f aca="false">IF(Ledger!D6&gt;0,Ledger!D6,0)</f>
        <v>60000</v>
      </c>
      <c r="C6" s="9" t="n">
        <f aca="false">IF(Ledger!D6&lt;0,-Ledger!D6,0)</f>
        <v>0</v>
      </c>
    </row>
    <row r="7" customFormat="false" ht="15" hidden="false" customHeight="false" outlineLevel="0" collapsed="false">
      <c r="A7" s="4" t="s">
        <v>33</v>
      </c>
      <c r="B7" s="9" t="n">
        <f aca="false">IF(Ledger!D7&gt;0,Ledger!D7,0)</f>
        <v>80000</v>
      </c>
      <c r="C7" s="9" t="n">
        <f aca="false">IF(Ledger!D7&lt;0,-Ledger!D7,0)</f>
        <v>0</v>
      </c>
    </row>
    <row r="8" customFormat="false" ht="15" hidden="false" customHeight="false" outlineLevel="0" collapsed="false">
      <c r="A8" s="4" t="s">
        <v>39</v>
      </c>
      <c r="B8" s="9" t="n">
        <f aca="false">IF(Ledger!D8&gt;0,Ledger!D8,0)</f>
        <v>0</v>
      </c>
      <c r="C8" s="9" t="n">
        <f aca="false">IF(Ledger!D8&lt;0,-Ledger!D8,0)</f>
        <v>0</v>
      </c>
    </row>
    <row r="9" customFormat="false" ht="15" hidden="false" customHeight="false" outlineLevel="0" collapsed="false">
      <c r="A9" s="4" t="s">
        <v>42</v>
      </c>
      <c r="B9" s="9" t="n">
        <f aca="false">IF(Ledger!D9&gt;0,Ledger!D9,0)</f>
        <v>9000</v>
      </c>
      <c r="C9" s="9" t="n">
        <f aca="false">IF(Ledger!D9&lt;0,-Ledger!D9,0)</f>
        <v>0</v>
      </c>
    </row>
    <row r="10" customFormat="false" ht="15" hidden="false" customHeight="false" outlineLevel="0" collapsed="false">
      <c r="A10" s="4" t="s">
        <v>36</v>
      </c>
      <c r="B10" s="9" t="n">
        <f aca="false">IF(Ledger!D10&gt;0,Ledger!D10,0)</f>
        <v>96000</v>
      </c>
      <c r="C10" s="9" t="n">
        <f aca="false">IF(Ledger!D10&lt;0,-Ledger!D10,0)</f>
        <v>0</v>
      </c>
    </row>
    <row r="11" customFormat="false" ht="15" hidden="false" customHeight="false" outlineLevel="0" collapsed="false">
      <c r="A11" s="4" t="s">
        <v>51</v>
      </c>
      <c r="B11" s="9" t="n">
        <f aca="false">IF(Ledger!D11&gt;0,Ledger!D11,0)</f>
        <v>125000</v>
      </c>
      <c r="C11" s="9" t="n">
        <f aca="false">IF(Ledger!D11&lt;0,-Ledger!D11,0)</f>
        <v>0</v>
      </c>
    </row>
    <row r="12" customFormat="false" ht="15" hidden="false" customHeight="false" outlineLevel="0" collapsed="false">
      <c r="A12" s="4" t="s">
        <v>54</v>
      </c>
      <c r="B12" s="9" t="n">
        <f aca="false">IF(Ledger!D12&gt;0,Ledger!D12,0)</f>
        <v>12500</v>
      </c>
      <c r="C12" s="9" t="n">
        <f aca="false">IF(Ledger!D12&lt;0,-Ledger!D12,0)</f>
        <v>0</v>
      </c>
    </row>
    <row r="13" customFormat="false" ht="15" hidden="false" customHeight="false" outlineLevel="0" collapsed="false">
      <c r="A13" s="4" t="s">
        <v>57</v>
      </c>
      <c r="B13" s="9" t="n">
        <f aca="false">IF(Ledger!D13&gt;0,Ledger!D13,0)</f>
        <v>13000</v>
      </c>
      <c r="C13" s="9" t="n">
        <f aca="false">IF(Ledger!D13&lt;0,-Ledger!D13,0)</f>
        <v>0</v>
      </c>
    </row>
    <row r="14" customFormat="false" ht="15" hidden="false" customHeight="false" outlineLevel="0" collapsed="false">
      <c r="A14" s="4" t="s">
        <v>76</v>
      </c>
      <c r="B14" s="9" t="n">
        <f aca="false">IF(Ledger!D14&gt;0,Ledger!D14,0)</f>
        <v>7000</v>
      </c>
      <c r="C14" s="9" t="n">
        <f aca="false">IF(Ledger!D14&lt;0,-Ledger!D14,0)</f>
        <v>0</v>
      </c>
    </row>
    <row r="15" customFormat="false" ht="15" hidden="false" customHeight="false" outlineLevel="0" collapsed="false">
      <c r="A15" s="4" t="s">
        <v>79</v>
      </c>
      <c r="B15" s="9" t="n">
        <f aca="false">IF(Ledger!D15&gt;0,Ledger!D15,0)</f>
        <v>1500</v>
      </c>
      <c r="C15" s="9" t="n">
        <f aca="false">IF(Ledger!D15&lt;0,-Ledger!D15,0)</f>
        <v>0</v>
      </c>
    </row>
    <row r="16" customFormat="false" ht="15" hidden="false" customHeight="false" outlineLevel="0" collapsed="false">
      <c r="A16" s="4" t="s">
        <v>108</v>
      </c>
      <c r="B16" s="9" t="n">
        <f aca="false">IF(Ledger!D16&gt;0,Ledger!D16,0)</f>
        <v>12000</v>
      </c>
      <c r="C16" s="9" t="n">
        <f aca="false">IF(Ledger!D16&lt;0,-Ledger!D16,0)</f>
        <v>0</v>
      </c>
    </row>
    <row r="17" customFormat="false" ht="15" hidden="false" customHeight="false" outlineLevel="0" collapsed="false">
      <c r="A17" s="4" t="s">
        <v>96</v>
      </c>
      <c r="B17" s="9" t="n">
        <f aca="false">IF(Ledger!D17&gt;0,Ledger!D17,0)</f>
        <v>6000</v>
      </c>
      <c r="C17" s="9" t="n">
        <f aca="false">IF(Ledger!D17&lt;0,-Ledger!D17,0)</f>
        <v>0</v>
      </c>
    </row>
    <row r="18" customFormat="false" ht="15" hidden="false" customHeight="false" outlineLevel="0" collapsed="false">
      <c r="A18" s="4" t="s">
        <v>101</v>
      </c>
      <c r="B18" s="9" t="n">
        <f aca="false">IF(Ledger!D18&gt;0,Ledger!D18,0)</f>
        <v>16000</v>
      </c>
      <c r="C18" s="9" t="n">
        <f aca="false">IF(Ledger!D18&lt;0,-Ledger!D18,0)</f>
        <v>0</v>
      </c>
    </row>
    <row r="19" customFormat="false" ht="15" hidden="false" customHeight="false" outlineLevel="0" collapsed="false">
      <c r="A19" s="4" t="s">
        <v>45</v>
      </c>
      <c r="B19" s="9" t="n">
        <f aca="false">IF(Ledger!D19&gt;0,Ledger!D19,0)</f>
        <v>0</v>
      </c>
      <c r="C19" s="9" t="n">
        <f aca="false">IF(Ledger!D19&lt;0,-Ledger!D19,0)</f>
        <v>630000</v>
      </c>
    </row>
    <row r="20" customFormat="false" ht="15" hidden="false" customHeight="false" outlineLevel="0" collapsed="false">
      <c r="A20" s="4" t="s">
        <v>68</v>
      </c>
      <c r="B20" s="9" t="n">
        <f aca="false">IF(Ledger!D20&gt;0,Ledger!D20,0)</f>
        <v>0</v>
      </c>
      <c r="C20" s="9" t="n">
        <f aca="false">IF(Ledger!D20&lt;0,-Ledger!D20,0)</f>
        <v>0</v>
      </c>
    </row>
    <row r="21" customFormat="false" ht="15" hidden="false" customHeight="false" outlineLevel="0" collapsed="false">
      <c r="A21" s="4" t="s">
        <v>105</v>
      </c>
      <c r="B21" s="9" t="n">
        <f aca="false">IF(Ledger!D21&gt;0,Ledger!D21,0)</f>
        <v>0</v>
      </c>
      <c r="C21" s="9" t="n">
        <f aca="false">IF(Ledger!D21&lt;0,-Ledger!D21,0)</f>
        <v>5000</v>
      </c>
    </row>
    <row r="22" customFormat="false" ht="15" hidden="false" customHeight="false" outlineLevel="0" collapsed="false">
      <c r="A22" s="4" t="s">
        <v>97</v>
      </c>
      <c r="B22" s="9" t="n">
        <f aca="false">IF(Ledger!D22&gt;0,Ledger!D22,0)</f>
        <v>0</v>
      </c>
      <c r="C22" s="9" t="n">
        <f aca="false">IF(Ledger!D22&lt;0,-Ledger!D22,0)</f>
        <v>6000</v>
      </c>
    </row>
    <row r="23" customFormat="false" ht="28.35" hidden="false" customHeight="false" outlineLevel="0" collapsed="false">
      <c r="A23" s="4" t="s">
        <v>102</v>
      </c>
      <c r="B23" s="9" t="n">
        <f aca="false">IF(Ledger!D23&gt;0,Ledger!D23,0)</f>
        <v>0</v>
      </c>
      <c r="C23" s="9" t="n">
        <f aca="false">IF(Ledger!D23&lt;0,-Ledger!D23,0)</f>
        <v>16000</v>
      </c>
    </row>
    <row r="24" customFormat="false" ht="15" hidden="false" customHeight="false" outlineLevel="0" collapsed="false">
      <c r="A24" s="4" t="s">
        <v>27</v>
      </c>
      <c r="B24" s="9" t="n">
        <f aca="false">IF(Ledger!D24&gt;0,Ledger!D24,0)</f>
        <v>0</v>
      </c>
      <c r="C24" s="9" t="n">
        <f aca="false">IF(Ledger!D24&lt;0,-Ledger!D24,0)</f>
        <v>500000</v>
      </c>
    </row>
    <row r="25" customFormat="false" ht="15" hidden="false" customHeight="false" outlineLevel="0" collapsed="false">
      <c r="A25" s="3" t="s">
        <v>127</v>
      </c>
      <c r="B25" s="3" t="n">
        <f aca="false">SUM(B2:B24)</f>
        <v>1157000</v>
      </c>
      <c r="C25" s="3" t="n">
        <f aca="false">SUM(C2:C24)</f>
        <v>1157000</v>
      </c>
    </row>
    <row r="27" customFormat="false" ht="15" hidden="false" customHeight="false" outlineLevel="0" collapsed="false">
      <c r="A27" s="5" t="s">
        <v>128</v>
      </c>
      <c r="B27" s="10" t="n">
        <f aca="false">B25-C25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1" t="s">
        <v>0</v>
      </c>
    </row>
    <row r="2" customFormat="false" ht="17.9" hidden="false" customHeight="false" outlineLevel="0" collapsed="false">
      <c r="A2" s="2" t="s">
        <v>129</v>
      </c>
    </row>
    <row r="3" customFormat="false" ht="15" hidden="false" customHeight="true" outlineLevel="0" collapsed="false">
      <c r="A3" s="6" t="s">
        <v>130</v>
      </c>
      <c r="B3" s="6"/>
    </row>
    <row r="5" customFormat="false" ht="15" hidden="false" customHeight="false" outlineLevel="0" collapsed="false">
      <c r="A5" s="12" t="s">
        <v>131</v>
      </c>
    </row>
    <row r="6" customFormat="false" ht="15" hidden="false" customHeight="false" outlineLevel="0" collapsed="false">
      <c r="A6" s="13" t="s">
        <v>45</v>
      </c>
      <c r="B6" s="10" t="n">
        <f aca="false">SUMIF('Trial Balance'!A:A,A6,'Trial Balance'!C:C)</f>
        <v>630000</v>
      </c>
    </row>
    <row r="8" customFormat="false" ht="15" hidden="false" customHeight="false" outlineLevel="0" collapsed="false">
      <c r="A8" s="12" t="s">
        <v>132</v>
      </c>
    </row>
    <row r="9" customFormat="false" ht="15" hidden="false" customHeight="false" outlineLevel="0" collapsed="false">
      <c r="A9" s="13" t="s">
        <v>42</v>
      </c>
      <c r="B9" s="10" t="n">
        <f aca="false">SUMIF('Trial Balance'!A:A,A9,'Trial Balance'!B:B)</f>
        <v>9000</v>
      </c>
    </row>
    <row r="10" customFormat="false" ht="15" hidden="false" customHeight="false" outlineLevel="0" collapsed="false">
      <c r="A10" s="13" t="s">
        <v>36</v>
      </c>
      <c r="B10" s="10" t="n">
        <f aca="false">SUMIF('Trial Balance'!A:A,A10,'Trial Balance'!B:B)</f>
        <v>96000</v>
      </c>
    </row>
    <row r="11" customFormat="false" ht="15" hidden="false" customHeight="false" outlineLevel="0" collapsed="false">
      <c r="A11" s="13" t="s">
        <v>51</v>
      </c>
      <c r="B11" s="10" t="n">
        <f aca="false">SUMIF('Trial Balance'!A:A,A11,'Trial Balance'!B:B)</f>
        <v>125000</v>
      </c>
    </row>
    <row r="12" customFormat="false" ht="15" hidden="false" customHeight="false" outlineLevel="0" collapsed="false">
      <c r="A12" s="13" t="s">
        <v>54</v>
      </c>
      <c r="B12" s="10" t="n">
        <f aca="false">SUMIF('Trial Balance'!A:A,A12,'Trial Balance'!B:B)</f>
        <v>12500</v>
      </c>
    </row>
    <row r="13" customFormat="false" ht="15" hidden="false" customHeight="false" outlineLevel="0" collapsed="false">
      <c r="A13" s="13" t="s">
        <v>57</v>
      </c>
      <c r="B13" s="10" t="n">
        <f aca="false">SUMIF('Trial Balance'!A:A,A13,'Trial Balance'!B:B)</f>
        <v>13000</v>
      </c>
    </row>
    <row r="14" customFormat="false" ht="15" hidden="false" customHeight="false" outlineLevel="0" collapsed="false">
      <c r="A14" s="13" t="s">
        <v>76</v>
      </c>
      <c r="B14" s="10" t="n">
        <f aca="false">SUMIF('Trial Balance'!A:A,A14,'Trial Balance'!B:B)</f>
        <v>7000</v>
      </c>
    </row>
    <row r="15" customFormat="false" ht="15" hidden="false" customHeight="false" outlineLevel="0" collapsed="false">
      <c r="A15" s="13" t="s">
        <v>79</v>
      </c>
      <c r="B15" s="10" t="n">
        <f aca="false">SUMIF('Trial Balance'!A:A,A15,'Trial Balance'!B:B)</f>
        <v>1500</v>
      </c>
    </row>
    <row r="16" customFormat="false" ht="15" hidden="false" customHeight="false" outlineLevel="0" collapsed="false">
      <c r="A16" s="13" t="s">
        <v>108</v>
      </c>
      <c r="B16" s="10" t="n">
        <f aca="false">SUMIF('Trial Balance'!A:A,A16,'Trial Balance'!B:B)</f>
        <v>12000</v>
      </c>
    </row>
    <row r="17" customFormat="false" ht="15" hidden="false" customHeight="false" outlineLevel="0" collapsed="false">
      <c r="A17" s="13" t="s">
        <v>96</v>
      </c>
      <c r="B17" s="10" t="n">
        <f aca="false">SUMIF('Trial Balance'!A:A,A17,'Trial Balance'!B:B)</f>
        <v>6000</v>
      </c>
    </row>
    <row r="18" customFormat="false" ht="15" hidden="false" customHeight="false" outlineLevel="0" collapsed="false">
      <c r="A18" s="13" t="s">
        <v>101</v>
      </c>
      <c r="B18" s="10" t="n">
        <f aca="false">SUMIF('Trial Balance'!A:A,A18,'Trial Balance'!B:B)</f>
        <v>16000</v>
      </c>
    </row>
    <row r="20" customFormat="false" ht="15" hidden="false" customHeight="false" outlineLevel="0" collapsed="false">
      <c r="A20" s="5" t="s">
        <v>133</v>
      </c>
      <c r="B20" s="14" t="n">
        <f aca="false">SUM(B9:B18)</f>
        <v>298000</v>
      </c>
    </row>
    <row r="22" customFormat="false" ht="15" hidden="false" customHeight="false" outlineLevel="0" collapsed="false">
      <c r="A22" s="5" t="s">
        <v>134</v>
      </c>
      <c r="B22" s="14" t="n">
        <f aca="false">B6-B20</f>
        <v>332000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1" t="s">
        <v>0</v>
      </c>
    </row>
    <row r="2" customFormat="false" ht="17.9" hidden="false" customHeight="false" outlineLevel="0" collapsed="false">
      <c r="A2" s="2" t="s">
        <v>135</v>
      </c>
    </row>
    <row r="3" customFormat="false" ht="15" hidden="false" customHeight="true" outlineLevel="0" collapsed="false">
      <c r="A3" s="6" t="s">
        <v>136</v>
      </c>
      <c r="B3" s="6"/>
    </row>
    <row r="5" customFormat="false" ht="15" hidden="false" customHeight="false" outlineLevel="0" collapsed="false">
      <c r="A5" s="12" t="s">
        <v>137</v>
      </c>
    </row>
    <row r="6" customFormat="false" ht="15" hidden="false" customHeight="false" outlineLevel="0" collapsed="false">
      <c r="A6" s="13" t="s">
        <v>26</v>
      </c>
      <c r="B6" s="10" t="n">
        <f aca="false">SUMIF('Trial Balance'!A:A,A6,'Trial Balance'!B:B)-SUMIF('Trial Balance'!A:A,A6,'Trial Balance'!C:C)</f>
        <v>629000</v>
      </c>
    </row>
    <row r="7" customFormat="false" ht="15" hidden="false" customHeight="false" outlineLevel="0" collapsed="false">
      <c r="A7" s="13" t="s">
        <v>48</v>
      </c>
      <c r="B7" s="10" t="n">
        <f aca="false">SUMIF('Trial Balance'!A:A,A7,'Trial Balance'!B:B)-SUMIF('Trial Balance'!A:A,A7,'Trial Balance'!C:C)</f>
        <v>0</v>
      </c>
    </row>
    <row r="8" customFormat="false" ht="15" hidden="false" customHeight="false" outlineLevel="0" collapsed="false">
      <c r="A8" s="13" t="s">
        <v>63</v>
      </c>
      <c r="B8" s="10" t="n">
        <f aca="false">SUMIF('Trial Balance'!A:A,A8,'Trial Balance'!B:B)-SUMIF('Trial Balance'!A:A,A8,'Trial Balance'!C:C)</f>
        <v>30000</v>
      </c>
    </row>
    <row r="9" customFormat="false" ht="15" hidden="false" customHeight="false" outlineLevel="0" collapsed="false">
      <c r="A9" s="13" t="s">
        <v>86</v>
      </c>
      <c r="B9" s="10" t="n">
        <f aca="false">SUMIF('Trial Balance'!A:A,A9,'Trial Balance'!B:B)-SUMIF('Trial Balance'!A:A,A9,'Trial Balance'!C:C)</f>
        <v>60000</v>
      </c>
    </row>
    <row r="10" customFormat="false" ht="15" hidden="false" customHeight="false" outlineLevel="0" collapsed="false">
      <c r="A10" s="13" t="s">
        <v>30</v>
      </c>
      <c r="B10" s="10" t="n">
        <f aca="false">SUMIF('Trial Balance'!A:A,A10,'Trial Balance'!B:B)-SUMIF('Trial Balance'!A:A,A10,'Trial Balance'!C:C)</f>
        <v>60000</v>
      </c>
    </row>
    <row r="11" customFormat="false" ht="15" hidden="false" customHeight="false" outlineLevel="0" collapsed="false">
      <c r="A11" s="13" t="s">
        <v>33</v>
      </c>
      <c r="B11" s="10" t="n">
        <f aca="false">SUMIF('Trial Balance'!A:A,A11,'Trial Balance'!B:B)-SUMIF('Trial Balance'!A:A,A11,'Trial Balance'!C:C)</f>
        <v>80000</v>
      </c>
    </row>
    <row r="12" customFormat="false" ht="15" hidden="false" customHeight="false" outlineLevel="0" collapsed="false">
      <c r="A12" s="13" t="s">
        <v>39</v>
      </c>
      <c r="B12" s="10" t="n">
        <f aca="false">SUMIF('Trial Balance'!A:A,A12,'Trial Balance'!B:B)-SUMIF('Trial Balance'!A:A,A12,'Trial Balance'!C:C)</f>
        <v>0</v>
      </c>
    </row>
    <row r="13" customFormat="false" ht="15" hidden="false" customHeight="false" outlineLevel="0" collapsed="false">
      <c r="A13" s="13" t="s">
        <v>138</v>
      </c>
      <c r="B13" s="10" t="n">
        <f aca="false">-SUMIF('Trial Balance'!A:A,"Accumulated Depreciation - Furniture",'Trial Balance'!C:C)</f>
        <v>-6000</v>
      </c>
    </row>
    <row r="14" customFormat="false" ht="28.35" hidden="false" customHeight="false" outlineLevel="0" collapsed="false">
      <c r="A14" s="13" t="s">
        <v>139</v>
      </c>
      <c r="B14" s="10" t="n">
        <f aca="false">-SUMIF('Trial Balance'!A:A,"Accumulated Depreciation - Computer Equipment",'Trial Balance'!C:C)</f>
        <v>-16000</v>
      </c>
    </row>
    <row r="16" customFormat="false" ht="15" hidden="false" customHeight="false" outlineLevel="0" collapsed="false">
      <c r="A16" s="5" t="s">
        <v>140</v>
      </c>
      <c r="B16" s="14" t="n">
        <f aca="false">SUM(B6:B12)+B13+B14</f>
        <v>837000</v>
      </c>
    </row>
    <row r="18" customFormat="false" ht="15" hidden="false" customHeight="false" outlineLevel="0" collapsed="false">
      <c r="A18" s="12" t="s">
        <v>141</v>
      </c>
    </row>
    <row r="19" customFormat="false" ht="15" hidden="false" customHeight="false" outlineLevel="0" collapsed="false">
      <c r="A19" s="13" t="s">
        <v>68</v>
      </c>
      <c r="B19" s="10" t="n">
        <f aca="false">SUMIF('Trial Balance'!A:A,A19,'Trial Balance'!C:C)-SUMIF('Trial Balance'!A:A,A19,'Trial Balance'!B:B)</f>
        <v>0</v>
      </c>
    </row>
    <row r="20" customFormat="false" ht="15" hidden="false" customHeight="false" outlineLevel="0" collapsed="false">
      <c r="A20" s="13" t="s">
        <v>105</v>
      </c>
      <c r="B20" s="10" t="n">
        <f aca="false">SUMIF('Trial Balance'!A:A,A20,'Trial Balance'!C:C)-SUMIF('Trial Balance'!A:A,A20,'Trial Balance'!B:B)</f>
        <v>5000</v>
      </c>
    </row>
    <row r="21" customFormat="false" ht="15" hidden="false" customHeight="false" outlineLevel="0" collapsed="false">
      <c r="A21" s="13" t="s">
        <v>27</v>
      </c>
      <c r="B21" s="10" t="n">
        <f aca="false">SUMIF('Trial Balance'!A:A,A21,'Trial Balance'!C:C)-SUMIF('Trial Balance'!A:A,A21,'Trial Balance'!B:B)</f>
        <v>500000</v>
      </c>
    </row>
    <row r="22" customFormat="false" ht="15" hidden="false" customHeight="false" outlineLevel="0" collapsed="false">
      <c r="A22" s="13" t="s">
        <v>142</v>
      </c>
      <c r="B22" s="10" t="n">
        <f aca="false">'Profit &amp; Loss'!B22</f>
        <v>332000</v>
      </c>
    </row>
    <row r="23" customFormat="false" ht="15" hidden="false" customHeight="false" outlineLevel="0" collapsed="false">
      <c r="B23" s="15"/>
    </row>
    <row r="24" customFormat="false" ht="15" hidden="false" customHeight="false" outlineLevel="0" collapsed="false">
      <c r="A24" s="5" t="s">
        <v>143</v>
      </c>
      <c r="B24" s="14" t="n">
        <f aca="false">SUM(B19:B21)+B22</f>
        <v>837000</v>
      </c>
    </row>
    <row r="26" customFormat="false" ht="15" hidden="false" customHeight="false" outlineLevel="0" collapsed="false">
      <c r="A26" s="5" t="s">
        <v>144</v>
      </c>
      <c r="B26" s="14" t="n">
        <f aca="false">B16-B24</f>
        <v>0</v>
      </c>
    </row>
  </sheetData>
  <mergeCells count="1"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2026-09-01T18:57:56Z</dcterms:created>
  <dc:creator>openpyxl</dc:creator>
  <dc:description/>
  <dc:language>en-US</dc:language>
  <cp:lastModifiedBy/>
  <dcterms:modified xsi:type="dcterms:W3CDTF">2026-09-01T18:57:56Z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